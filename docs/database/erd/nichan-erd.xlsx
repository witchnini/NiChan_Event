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it\Nichan\docs\"/>
    </mc:Choice>
  </mc:AlternateContent>
  <xr:revisionPtr revIDLastSave="0" documentId="13_ncr:1_{AC939155-9DAC-4153-BC27-3FE63AAF7465}" xr6:coauthVersionLast="47" xr6:coauthVersionMax="47" xr10:uidLastSave="{00000000-0000-0000-0000-000000000000}"/>
  <bookViews>
    <workbookView xWindow="-108" yWindow="-108" windowWidth="23256" windowHeight="13176" tabRatio="860" activeTab="2" xr2:uid="{00000000-000D-0000-FFFF-FFFF00000000}"/>
  </bookViews>
  <sheets>
    <sheet name="Tong quan" sheetId="1" r:id="rId1"/>
    <sheet name="I Users" sheetId="2" r:id="rId2"/>
    <sheet name="II Public" sheetId="3" r:id="rId3"/>
    <sheet name="III Event" sheetId="4" r:id="rId4"/>
    <sheet name="IV Task" sheetId="5" r:id="rId5"/>
    <sheet name="V Vendor Staff" sheetId="6" r:id="rId6"/>
    <sheet name="VI Finance" sheetId="7" r:id="rId7"/>
    <sheet name="VII Review" sheetId="8" r:id="rId8"/>
    <sheet name="VIII Chat" sheetId="9" r:id="rId9"/>
    <sheet name="IX Quan he" sheetId="10" r:id="rId10"/>
    <sheet name="X Trang thai" sheetId="11" r:id="rId11"/>
    <sheet name="Diagram Source" sheetId="12" r:id="rId12"/>
    <sheet name="ERD Source" sheetId="13" r:id="rId13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" i="1" l="1"/>
  <c r="B24" i="1"/>
  <c r="B23" i="1"/>
  <c r="B22" i="1"/>
  <c r="B21" i="1"/>
  <c r="B20" i="1"/>
  <c r="B19" i="1"/>
  <c r="B18" i="1"/>
  <c r="B17" i="1"/>
  <c r="B16" i="1"/>
  <c r="B15" i="1"/>
  <c r="B14" i="1"/>
</calcChain>
</file>

<file path=xl/sharedStrings.xml><?xml version="1.0" encoding="utf-8"?>
<sst xmlns="http://schemas.openxmlformats.org/spreadsheetml/2006/main" count="2916" uniqueCount="1271">
  <si>
    <t>BIỂU MẪU SƠ ĐỒ DIAGRAM VÀ ERD - NICHAN</t>
  </si>
  <si>
    <t/>
  </si>
  <si>
    <t>Mục</t>
  </si>
  <si>
    <t>Nội dung</t>
  </si>
  <si>
    <t>Tên dự án</t>
  </si>
  <si>
    <t>NiChan Event Management System</t>
  </si>
  <si>
    <t>Loại tài liệu</t>
  </si>
  <si>
    <t>Biểu mẫu sơ đồ Diagram và ERD</t>
  </si>
  <si>
    <t>Phiên bản</t>
  </si>
  <si>
    <t>1.0</t>
  </si>
  <si>
    <t>Ngày lập</t>
  </si>
  <si>
    <t>20/05/2026</t>
  </si>
  <si>
    <t>Nguồn tham chiếu</t>
  </si>
  <si>
    <t>NiChan-backend/prisma/schema.prisma, create_tables.sql, Diagram - diagram.pdf</t>
  </si>
  <si>
    <t>Link Diagram</t>
  </si>
  <si>
    <t>docs/diagrams/nichan-system-diagram.mmd</t>
  </si>
  <si>
    <t>Link ERD</t>
  </si>
  <si>
    <t>docs/diagrams/nichan-erd-full.mmd</t>
  </si>
  <si>
    <t>Danh sách sheet</t>
  </si>
  <si>
    <t>STT</t>
  </si>
  <si>
    <t>Sheet</t>
  </si>
  <si>
    <t>1</t>
  </si>
  <si>
    <t>Biểu mẫu bảng theo nhóm nghiệp vụ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</si>
  <si>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</si>
  <si>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</si>
  <si>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</si>
  <si>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</si>
  <si>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</si>
  <si>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</si>
  <si>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</si>
  <si>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</si>
  <si>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</si>
  <si>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</si>
  <si>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Mã Mermaid của sơ đồ tổng quan</t>
  </si>
  <si>
    <t>12</t>
  </si>
  <si>
    <t>Mã Mermaid của ERD</t>
  </si>
  <si>
    <t>I. Quản lý người dùng và phân quyền</t>
  </si>
  <si>
    <t>1. users - Lưu tài khoản đăng nhập của tất cả người dùng</t>
  </si>
  <si>
    <t>Tên cột</t>
  </si>
  <si>
    <t>Kiểu dữ liệu</t>
  </si>
  <si>
    <t>Ràng buộc</t>
  </si>
  <si>
    <t>Ý nghĩa</t>
  </si>
  <si>
    <t>id</t>
  </si>
  <si>
    <t>text/uuid</t>
  </si>
  <si>
    <t>PRIMARY KEY, DEFAULT uuid</t>
  </si>
  <si>
    <t>Mã định danh duy nhất của user</t>
  </si>
  <si>
    <t>email</t>
  </si>
  <si>
    <t>text</t>
  </si>
  <si>
    <t>NOT NULL, UNIQUE</t>
  </si>
  <si>
    <t>Email đăng nhập</t>
  </si>
  <si>
    <t>passwordHash</t>
  </si>
  <si>
    <t>NOT NULL</t>
  </si>
  <si>
    <t>Mật khẩu đã băm</t>
  </si>
  <si>
    <t>role</t>
  </si>
  <si>
    <t>Vai trò: admin, organizer, customer, staff</t>
  </si>
  <si>
    <t>status</t>
  </si>
  <si>
    <t>NOT NULL, DEFAULT active</t>
  </si>
  <si>
    <t>Trạng thái tài khoản</t>
  </si>
  <si>
    <t>displayName</t>
  </si>
  <si>
    <t>Tên hiển thị</t>
  </si>
  <si>
    <t>phone</t>
  </si>
  <si>
    <t>NULL</t>
  </si>
  <si>
    <t>Số điện thoại</t>
  </si>
  <si>
    <t>avatarUrl</t>
  </si>
  <si>
    <t>URL ảnh đại diện</t>
  </si>
  <si>
    <t>lastLoginAt</t>
  </si>
  <si>
    <t>datetime</t>
  </si>
  <si>
    <t>Thời điểm đăng nhập cuối</t>
  </si>
  <si>
    <t>createdAt</t>
  </si>
  <si>
    <t>NOT NULL, DEFAULT now</t>
  </si>
  <si>
    <t>Thời điểm tạo</t>
  </si>
  <si>
    <t>updatedAt</t>
  </si>
  <si>
    <t>NOT NULL, AUTO UPDATE</t>
  </si>
  <si>
    <t>Thời điểm cập nhật cuối</t>
  </si>
  <si>
    <t>deletedAt</t>
  </si>
  <si>
    <t>Thời điểm xóa mềm</t>
  </si>
  <si>
    <t>2. customer_profiles - Lưu hồ sơ khách hàng</t>
  </si>
  <si>
    <t>userId</t>
  </si>
  <si>
    <t>PRIMARY KEY, FK -&gt; users.id</t>
  </si>
  <si>
    <t>Tài khoản khách hàng</t>
  </si>
  <si>
    <t>fullName</t>
  </si>
  <si>
    <t>Họ tên đầy đủ</t>
  </si>
  <si>
    <t>address</t>
  </si>
  <si>
    <t>Địa chỉ</t>
  </si>
  <si>
    <t>bio</t>
  </si>
  <si>
    <t>Giới thiệu ngắn</t>
  </si>
  <si>
    <t>birthDate</t>
  </si>
  <si>
    <t>Ngày sinh</t>
  </si>
  <si>
    <t>3. organizer_profiles - Lưu hồ sơ ban tổ chức</t>
  </si>
  <si>
    <t>Tài khoản organizer</t>
  </si>
  <si>
    <t>jobTitle</t>
  </si>
  <si>
    <t>Chức danh công việc</t>
  </si>
  <si>
    <t>4. admin_profiles - Lưu hồ sơ quản trị viên</t>
  </si>
  <si>
    <t>Tài khoản admin</t>
  </si>
  <si>
    <t>5. staff_profiles - Lưu hồ sơ nhân sự sự kiện</t>
  </si>
  <si>
    <t>Tài khoản nhân sự</t>
  </si>
  <si>
    <t>Họ tên nhân sự</t>
  </si>
  <si>
    <t>Vị trí/chuyên môn</t>
  </si>
  <si>
    <t>employmentStatus</t>
  </si>
  <si>
    <t>Trạng thái làm việc: active, inactive</t>
  </si>
  <si>
    <t>II. Nội dung công khai</t>
  </si>
  <si>
    <t>6. service_categories - Lưu danh mục dịch vụ</t>
  </si>
  <si>
    <t>Mã danh mục</t>
  </si>
  <si>
    <t>name</t>
  </si>
  <si>
    <t>Tên danh mục</t>
  </si>
  <si>
    <t>slug</t>
  </si>
  <si>
    <t>Đường dẫn thân thiện</t>
  </si>
  <si>
    <t>description</t>
  </si>
  <si>
    <t>Mô tả danh mục</t>
  </si>
  <si>
    <t>sortOrder</t>
  </si>
  <si>
    <t>integer</t>
  </si>
  <si>
    <t>NOT NULL, DEFAULT 0</t>
  </si>
  <si>
    <t>Thứ tự hiển thị</t>
  </si>
  <si>
    <t>isActive</t>
  </si>
  <si>
    <t>boolean</t>
  </si>
  <si>
    <t>NOT NULL, DEFAULT true</t>
  </si>
  <si>
    <t>Trạng thái kích hoạt</t>
  </si>
  <si>
    <t>7. services - Lưu dịch vụ tổ chức sự kiện</t>
  </si>
  <si>
    <t>Mã dịch vụ</t>
  </si>
  <si>
    <t>categoryId</t>
  </si>
  <si>
    <t>NOT NULL, FK -&gt; service_categories.id</t>
  </si>
  <si>
    <t>Danh mục dịch vụ</t>
  </si>
  <si>
    <t>title</t>
  </si>
  <si>
    <t>Tên dịch vụ</t>
  </si>
  <si>
    <t>Đường dẫn chi tiết dịch vụ</t>
  </si>
  <si>
    <t>shortDescription</t>
  </si>
  <si>
    <t>Mô tả ngắn</t>
  </si>
  <si>
    <t>Nội dung mô tả chi tiết</t>
  </si>
  <si>
    <t>priceFrom</t>
  </si>
  <si>
    <t>decimal</t>
  </si>
  <si>
    <t>Giá thấp nhất tham khảo</t>
  </si>
  <si>
    <t>priceTo</t>
  </si>
  <si>
    <t>Giá cao nhất tham khảo</t>
  </si>
  <si>
    <t>guestFrom</t>
  </si>
  <si>
    <t>Số khách tối thiểu</t>
  </si>
  <si>
    <t>guestTo</t>
  </si>
  <si>
    <t>Số khách tối đa</t>
  </si>
  <si>
    <t>locationText</t>
  </si>
  <si>
    <t>Khu vực/địa điểm áp dụng</t>
  </si>
  <si>
    <t>coverImageUrl</t>
  </si>
  <si>
    <t>Ảnh đại diện dịch vụ</t>
  </si>
  <si>
    <t>13</t>
  </si>
  <si>
    <t>isFeatured</t>
  </si>
  <si>
    <t>NOT NULL, DEFAULT false</t>
  </si>
  <si>
    <t>Có hiển thị nổi bật hay không</t>
  </si>
  <si>
    <t>14</t>
  </si>
  <si>
    <t>8. portfolio_items - Lưu portfolio/case study sự kiện</t>
  </si>
  <si>
    <t>Mã portfolio</t>
  </si>
  <si>
    <t>Tiêu đề portfolio</t>
  </si>
  <si>
    <t>Đường dẫn chi tiết portfolio</t>
  </si>
  <si>
    <t>category</t>
  </si>
  <si>
    <t>Nhóm/loại sự kiện</t>
  </si>
  <si>
    <t>guestCount</t>
  </si>
  <si>
    <t>Số lượng khách</t>
  </si>
  <si>
    <t>Ảnh đại diện</t>
  </si>
  <si>
    <t>NOT NULL, DEFAULT visible</t>
  </si>
  <si>
    <t>Trạng thái hiển thị</t>
  </si>
  <si>
    <t>viewCount</t>
  </si>
  <si>
    <t>Lượt xem</t>
  </si>
  <si>
    <t>eventId</t>
  </si>
  <si>
    <t>NULL, FK -&gt; events.id</t>
  </si>
  <si>
    <t>Sự kiện liên quan nếu có</t>
  </si>
  <si>
    <t>publishedAt</t>
  </si>
  <si>
    <t>Thời điểm xuất bản</t>
  </si>
  <si>
    <t>9. blog_posts - Lưu bài viết blog</t>
  </si>
  <si>
    <t>Mã bài viết</t>
  </si>
  <si>
    <t>Tiêu đề bài viết</t>
  </si>
  <si>
    <t>Đường dẫn bài viết</t>
  </si>
  <si>
    <t>Chuyên mục</t>
  </si>
  <si>
    <t>excerpt</t>
  </si>
  <si>
    <t>Tóm tắt</t>
  </si>
  <si>
    <t>content</t>
  </si>
  <si>
    <t>Nội dung bài viết</t>
  </si>
  <si>
    <t>NOT NULL, DEFAULT draft</t>
  </si>
  <si>
    <t>Trạng thái: draft, scheduled, published, hidden</t>
  </si>
  <si>
    <t>createdById</t>
  </si>
  <si>
    <t>NOT NULL, FK -&gt; users.id</t>
  </si>
  <si>
    <t>Người tạo bài</t>
  </si>
  <si>
    <t>updatedById</t>
  </si>
  <si>
    <t>NULL, FK -&gt; users.id</t>
  </si>
  <si>
    <t>Người cập nhật cuối</t>
  </si>
  <si>
    <t>10. testimonials - Lưu nhận xét nổi bật trên website</t>
  </si>
  <si>
    <t>Mã testimonial</t>
  </si>
  <si>
    <t>customerName</t>
  </si>
  <si>
    <t>Tên khách hàng hiển thị</t>
  </si>
  <si>
    <t>roleText</t>
  </si>
  <si>
    <t>Vai trò/mô tả khách hàng</t>
  </si>
  <si>
    <t>Nội dung nhận xét</t>
  </si>
  <si>
    <t>rating</t>
  </si>
  <si>
    <t>Điểm đánh giá</t>
  </si>
  <si>
    <t>III. Tiếp nhận yêu cầu và dự án sự kiện</t>
  </si>
  <si>
    <t>11. consultation_requests - Lưu yêu cầu tư vấn/báo giá</t>
  </si>
  <si>
    <t>Mã yêu cầu</t>
  </si>
  <si>
    <t>requestCode</t>
  </si>
  <si>
    <t>Mã yêu cầu hiển thị</t>
  </si>
  <si>
    <t>Tên khách gửi yêu cầu</t>
  </si>
  <si>
    <t>Email liên hệ</t>
  </si>
  <si>
    <t>eventType</t>
  </si>
  <si>
    <t>Loại sự kiện</t>
  </si>
  <si>
    <t>eventDate</t>
  </si>
  <si>
    <t>Ngày dự kiến tổ chức</t>
  </si>
  <si>
    <t>Số khách dự kiến</t>
  </si>
  <si>
    <t>budgetRange</t>
  </si>
  <si>
    <t>Khoảng ngân sách</t>
  </si>
  <si>
    <t>Địa điểm dự kiến</t>
  </si>
  <si>
    <t>note</t>
  </si>
  <si>
    <t>Ghi chú của khách</t>
  </si>
  <si>
    <t>NOT NULL, DEFAULT new</t>
  </si>
  <si>
    <t>Trạng thái xử lý yêu cầu</t>
  </si>
  <si>
    <t>assignedManagerId</t>
  </si>
  <si>
    <t>Người phụ trách xử lý</t>
  </si>
  <si>
    <t>customerUserId</t>
  </si>
  <si>
    <t>Tài khoản khách nếu đã đăng ký</t>
  </si>
  <si>
    <t>15</t>
  </si>
  <si>
    <t>quotedAt</t>
  </si>
  <si>
    <t>Thời điểm báo giá</t>
  </si>
  <si>
    <t>16</t>
  </si>
  <si>
    <t>confirmedAt</t>
  </si>
  <si>
    <t>Thời điểm xác nhận</t>
  </si>
  <si>
    <t>17</t>
  </si>
  <si>
    <t>rejectedAt</t>
  </si>
  <si>
    <t>Thời điểm từ chối</t>
  </si>
  <si>
    <t>18</t>
  </si>
  <si>
    <t>19</t>
  </si>
  <si>
    <t>12. events - Lưu dự án/sự kiện thực tế</t>
  </si>
  <si>
    <t>Mã sự kiện</t>
  </si>
  <si>
    <t>Tên sự kiện</t>
  </si>
  <si>
    <t>NULL, UNIQUE</t>
  </si>
  <si>
    <t>Đường dẫn sự kiện/portfolio nếu có</t>
  </si>
  <si>
    <t>type</t>
  </si>
  <si>
    <t>Trạng thái dự án</t>
  </si>
  <si>
    <t>Khách hàng sở hữu sự kiện</t>
  </si>
  <si>
    <t>organizerUserId</t>
  </si>
  <si>
    <t>Organizer phụ trách</t>
  </si>
  <si>
    <t>consultationRequestId</t>
  </si>
  <si>
    <t>NULL, FK -&gt; consultation_requests.id</t>
  </si>
  <si>
    <t>Yêu cầu tư vấn nguồn</t>
  </si>
  <si>
    <t>Ngày tổ chức</t>
  </si>
  <si>
    <t>Địa điểm tổ chức</t>
  </si>
  <si>
    <t>Số khách</t>
  </si>
  <si>
    <t>budgetEstimated</t>
  </si>
  <si>
    <t>Ngân sách dự kiến</t>
  </si>
  <si>
    <t>budgetActual</t>
  </si>
  <si>
    <t>Ngân sách thực tế</t>
  </si>
  <si>
    <t>progressPercent</t>
  </si>
  <si>
    <t>Phần trăm tiến độ</t>
  </si>
  <si>
    <t>summary</t>
  </si>
  <si>
    <t>Tóm tắt dự án</t>
  </si>
  <si>
    <t>completedAt</t>
  </si>
  <si>
    <t>Thời điểm hoàn tất</t>
  </si>
  <si>
    <t>13. event_milestones - Lưu mốc triển khai sự kiện</t>
  </si>
  <si>
    <t>Mã milestone</t>
  </si>
  <si>
    <t>NOT NULL, FK -&gt; events.id</t>
  </si>
  <si>
    <t>Sự kiện liên quan</t>
  </si>
  <si>
    <t>Tên mốc</t>
  </si>
  <si>
    <t>Mô tả</t>
  </si>
  <si>
    <t>milestoneDate</t>
  </si>
  <si>
    <t>Ngày dự kiến</t>
  </si>
  <si>
    <t>NOT NULL, DEFAULT todo</t>
  </si>
  <si>
    <t>Trạng thái mốc</t>
  </si>
  <si>
    <t>14. event_activities - Lưu nhật ký hoạt động của sự kiện</t>
  </si>
  <si>
    <t>Mã activity</t>
  </si>
  <si>
    <t>actorUserId</t>
  </si>
  <si>
    <t>Người thực hiện hành động</t>
  </si>
  <si>
    <t>iconName</t>
  </si>
  <si>
    <t>Icon hiển thị trong timeline</t>
  </si>
  <si>
    <t>message</t>
  </si>
  <si>
    <t>Nội dung nhật ký</t>
  </si>
  <si>
    <t>Thời điểm ghi nhận</t>
  </si>
  <si>
    <t>IV. Task và lịch sử trạng thái</t>
  </si>
  <si>
    <t>15. project_tasks - Lưu công việc triển khai sự kiện</t>
  </si>
  <si>
    <t>Mã task</t>
  </si>
  <si>
    <t>Sự kiện chứa task</t>
  </si>
  <si>
    <t>Tiêu đề task</t>
  </si>
  <si>
    <t>Mô tả chi tiết</t>
  </si>
  <si>
    <t>Trạng thái task</t>
  </si>
  <si>
    <t>priority</t>
  </si>
  <si>
    <t>NOT NULL, DEFAULT medium</t>
  </si>
  <si>
    <t>Độ ưu tiên</t>
  </si>
  <si>
    <t>assigneeUserId</t>
  </si>
  <si>
    <t>Người được giao</t>
  </si>
  <si>
    <t>dueAt</t>
  </si>
  <si>
    <t>Hạn hoàn thành</t>
  </si>
  <si>
    <t>Thứ tự trong Kanban</t>
  </si>
  <si>
    <t>Người tạo task</t>
  </si>
  <si>
    <t>16. task_status_histories - Lưu lịch sử chuyển trạng thái task</t>
  </si>
  <si>
    <t>Mã lịch sử</t>
  </si>
  <si>
    <t>taskId</t>
  </si>
  <si>
    <t>NOT NULL, FK -&gt; project_tasks.id</t>
  </si>
  <si>
    <t>Task được thay đổi</t>
  </si>
  <si>
    <t>fromStatus</t>
  </si>
  <si>
    <t>Trạng thái trước</t>
  </si>
  <si>
    <t>toStatus</t>
  </si>
  <si>
    <t>Trạng thái sau</t>
  </si>
  <si>
    <t>changedById</t>
  </si>
  <si>
    <t>Người thay đổi</t>
  </si>
  <si>
    <t>changedAt</t>
  </si>
  <si>
    <t>Thời điểm thay đổi</t>
  </si>
  <si>
    <t>V. Nhà cung cấp và nhân sự</t>
  </si>
  <si>
    <t>17. vendor_categories - Lưu danh mục nhà cung cấp</t>
  </si>
  <si>
    <t>Mã danh mục vendor</t>
  </si>
  <si>
    <t>Đường dẫn/danh định</t>
  </si>
  <si>
    <t>18. vendors - Lưu nhà cung cấp</t>
  </si>
  <si>
    <t>Mã nhà cung cấp</t>
  </si>
  <si>
    <t>Tên nhà cung cấp</t>
  </si>
  <si>
    <t>NOT NULL, FK -&gt; vendor_categories.id</t>
  </si>
  <si>
    <t>Danh mục nhà cung cấp</t>
  </si>
  <si>
    <t>Email</t>
  </si>
  <si>
    <t>contactName</t>
  </si>
  <si>
    <t>Người liên hệ</t>
  </si>
  <si>
    <t>ratingAvg</t>
  </si>
  <si>
    <t>Điểm đánh giá trung bình</t>
  </si>
  <si>
    <t>Trạng thái vendor</t>
  </si>
  <si>
    <t>Ghi chú</t>
  </si>
  <si>
    <t>19. event_vendors - Lưu nhà cung cấp tham gia sự kiện</t>
  </si>
  <si>
    <t>Mã gắn vendor</t>
  </si>
  <si>
    <t>Sự kiện sử dụng vendor</t>
  </si>
  <si>
    <t>vendorId</t>
  </si>
  <si>
    <t>NOT NULL, FK -&gt; vendors.id</t>
  </si>
  <si>
    <t>Nhà cung cấp</t>
  </si>
  <si>
    <t>serviceNote</t>
  </si>
  <si>
    <t>Ghi chú dịch vụ cung cấp</t>
  </si>
  <si>
    <t>contractValue</t>
  </si>
  <si>
    <t>Giá trị hợp đồng/chi phí</t>
  </si>
  <si>
    <t>Trạng thái tham gia</t>
  </si>
  <si>
    <t>20. shift_schedules - Lưu ca làm việc của nhân sự</t>
  </si>
  <si>
    <t>Mã ca làm</t>
  </si>
  <si>
    <t>staffUserId</t>
  </si>
  <si>
    <t>Nhân sự được xếp ca</t>
  </si>
  <si>
    <t>workDate</t>
  </si>
  <si>
    <t>Ngày làm việc</t>
  </si>
  <si>
    <t>startTime</t>
  </si>
  <si>
    <t>Giờ bắt đầu</t>
  </si>
  <si>
    <t>endTime</t>
  </si>
  <si>
    <t>Giờ kết thúc</t>
  </si>
  <si>
    <t>Ghi chú ca</t>
  </si>
  <si>
    <t>21. event_staff_assignments - Lưu phân công nhân sự vào sự kiện</t>
  </si>
  <si>
    <t>Mã phân công</t>
  </si>
  <si>
    <t>Sự kiện được phân công</t>
  </si>
  <si>
    <t>Nhân sự được phân công</t>
  </si>
  <si>
    <t>Vai trò trong sự kiện</t>
  </si>
  <si>
    <t>NOT NULL, DEFAULT invited</t>
  </si>
  <si>
    <t>Trạng thái phân công</t>
  </si>
  <si>
    <t>assignedAt</t>
  </si>
  <si>
    <t>Thời điểm phân công</t>
  </si>
  <si>
    <t>VI. Hợp đồng, tài liệu và tài chính</t>
  </si>
  <si>
    <t>22. contracts - Lưu hợp đồng sự kiện</t>
  </si>
  <si>
    <t>Mã hợp đồng</t>
  </si>
  <si>
    <t>contractCode</t>
  </si>
  <si>
    <t>Mã hợp đồng hiển thị</t>
  </si>
  <si>
    <t>Sự kiện của hợp đồng</t>
  </si>
  <si>
    <t>Khách hàng ký hợp đồng</t>
  </si>
  <si>
    <t>Trạng thái hợp đồng</t>
  </si>
  <si>
    <t>currentVersion</t>
  </si>
  <si>
    <t>Phiên bản hiện tại</t>
  </si>
  <si>
    <t>signedAt</t>
  </si>
  <si>
    <t>Thời điểm ký</t>
  </si>
  <si>
    <t>sentAt</t>
  </si>
  <si>
    <t>Thời điểm gửi</t>
  </si>
  <si>
    <t>totalValue</t>
  </si>
  <si>
    <t>Tổng giá trị hợp đồng</t>
  </si>
  <si>
    <t>Người tạo hợp đồng</t>
  </si>
  <si>
    <t>23. contract_versions - Lưu phiên bản hợp đồng</t>
  </si>
  <si>
    <t>Mã phiên bản</t>
  </si>
  <si>
    <t>contractId</t>
  </si>
  <si>
    <t>NOT NULL, FK -&gt; contracts.id</t>
  </si>
  <si>
    <t>Hợp đồng gốc</t>
  </si>
  <si>
    <t>versionLabel</t>
  </si>
  <si>
    <t>Nhãn phiên bản</t>
  </si>
  <si>
    <t>scopeText</t>
  </si>
  <si>
    <t>Phạm vi dịch vụ</t>
  </si>
  <si>
    <t>paymentTerms</t>
  </si>
  <si>
    <t>Điều khoản thanh toán</t>
  </si>
  <si>
    <t>generalTerms</t>
  </si>
  <si>
    <t>Điều khoản chung</t>
  </si>
  <si>
    <t>documentUrl</t>
  </si>
  <si>
    <t>URL file hợp đồng</t>
  </si>
  <si>
    <t>Người tạo phiên bản, hiện chưa khai báo FK trong schema</t>
  </si>
  <si>
    <t>24. documents - Lưu tài liệu liên quan sự kiện/hợp đồng</t>
  </si>
  <si>
    <t>Mã tài liệu</t>
  </si>
  <si>
    <t>NULL, FK -&gt; contracts.id</t>
  </si>
  <si>
    <t>Hợp đồng liên quan</t>
  </si>
  <si>
    <t>uploadedById</t>
  </si>
  <si>
    <t>Người upload</t>
  </si>
  <si>
    <t>Tên tài liệu</t>
  </si>
  <si>
    <t>fileType</t>
  </si>
  <si>
    <t>Loại file</t>
  </si>
  <si>
    <t>fileUrl</t>
  </si>
  <si>
    <t>URL file</t>
  </si>
  <si>
    <t>NOT NULL, DEFAULT pending</t>
  </si>
  <si>
    <t>Trạng thái tài liệu</t>
  </si>
  <si>
    <t>25. transactions - Lưu giao dịch thu/chi</t>
  </si>
  <si>
    <t>Mã giao dịch</t>
  </si>
  <si>
    <t>Mô tả giao dịch</t>
  </si>
  <si>
    <t>amount</t>
  </si>
  <si>
    <t>Số tiền</t>
  </si>
  <si>
    <t>transactionDate</t>
  </si>
  <si>
    <t>Ngày giao dịch</t>
  </si>
  <si>
    <t>paymentMethod</t>
  </si>
  <si>
    <t>Phương thức thanh toán</t>
  </si>
  <si>
    <t>Trạng thái giao dịch</t>
  </si>
  <si>
    <t>26. project_budgets - Lưu ngân sách dự án</t>
  </si>
  <si>
    <t>Mã ngân sách</t>
  </si>
  <si>
    <t>Tên ngân sách</t>
  </si>
  <si>
    <t>currencyCode</t>
  </si>
  <si>
    <t>NOT NULL, DEFAULT VND</t>
  </si>
  <si>
    <t>Đơn vị tiền tệ</t>
  </si>
  <si>
    <t>27. budget_items - Lưu hạng mục ngân sách</t>
  </si>
  <si>
    <t>Mã hạng mục</t>
  </si>
  <si>
    <t>projectBudgetId</t>
  </si>
  <si>
    <t>NOT NULL, FK -&gt; project_budgets.id</t>
  </si>
  <si>
    <t>Ngân sách cha</t>
  </si>
  <si>
    <t>Loại chi phí</t>
  </si>
  <si>
    <t>estimatedAmount</t>
  </si>
  <si>
    <t>Chi phí dự kiến</t>
  </si>
  <si>
    <t>actualAmount</t>
  </si>
  <si>
    <t>Chi phí thực tế</t>
  </si>
  <si>
    <t>NOT NULL, DEFAULT planned</t>
  </si>
  <si>
    <t>Trạng thái chi phí</t>
  </si>
  <si>
    <t>NULL, FK -&gt; vendors.id</t>
  </si>
  <si>
    <t>Vendor liên quan</t>
  </si>
  <si>
    <t>VII. Đánh giá dịch vụ</t>
  </si>
  <si>
    <t>28. reviews - Lưu đánh giá tổng thể của khách hàng</t>
  </si>
  <si>
    <t>Mã đánh giá</t>
  </si>
  <si>
    <t>NOT NULL, FK -&gt; events.id, UNIQUE với customerUserId</t>
  </si>
  <si>
    <t>Sự kiện được đánh giá</t>
  </si>
  <si>
    <t>NOT NULL, FK -&gt; users.id, UNIQUE với eventId</t>
  </si>
  <si>
    <t>Khách hàng đánh giá</t>
  </si>
  <si>
    <t>ratingOverall</t>
  </si>
  <si>
    <t>Điểm tổng thể</t>
  </si>
  <si>
    <t>comment</t>
  </si>
  <si>
    <t>Trạng thái duyệt</t>
  </si>
  <si>
    <t>submittedAt</t>
  </si>
  <si>
    <t>Thời điểm gửi đánh giá</t>
  </si>
  <si>
    <t>approvedAt</t>
  </si>
  <si>
    <t>Thời điểm duyệt</t>
  </si>
  <si>
    <t>approvedById</t>
  </si>
  <si>
    <t>Admin duyệt</t>
  </si>
  <si>
    <t>29. review_criteria - Lưu tiêu chí đánh giá</t>
  </si>
  <si>
    <t>Mã tiêu chí</t>
  </si>
  <si>
    <t>key</t>
  </si>
  <si>
    <t>Khóa tiêu chí</t>
  </si>
  <si>
    <t>label</t>
  </si>
  <si>
    <t>30. review_scores - Lưu điểm theo từng tiêu chí</t>
  </si>
  <si>
    <t>Mã điểm tiêu chí</t>
  </si>
  <si>
    <t>reviewId</t>
  </si>
  <si>
    <t>NOT NULL, FK -&gt; reviews.id, UNIQUE với reviewCriteriaId</t>
  </si>
  <si>
    <t>Đánh giá cha</t>
  </si>
  <si>
    <t>reviewCriteriaId</t>
  </si>
  <si>
    <t>NOT NULL, FK -&gt; review_criteria.id, UNIQUE với reviewId</t>
  </si>
  <si>
    <t>Tiêu chí được chấm</t>
  </si>
  <si>
    <t>score</t>
  </si>
  <si>
    <t>Điểm của tiêu chí</t>
  </si>
  <si>
    <t>VIII. Chat và thông báo</t>
  </si>
  <si>
    <t>31. chat_threads - Lưu phòng chat theo sự kiện</t>
  </si>
  <si>
    <t>Mã thread</t>
  </si>
  <si>
    <t>Sự kiện chứa cuộc trao đổi</t>
  </si>
  <si>
    <t>32. chat_thread_members - Lưu thành viên trong phòng chat</t>
  </si>
  <si>
    <t>Mã thành viên thread</t>
  </si>
  <si>
    <t>threadId</t>
  </si>
  <si>
    <t>NOT NULL, FK -&gt; chat_threads.id, UNIQUE với userId</t>
  </si>
  <si>
    <t>Phòng chat</t>
  </si>
  <si>
    <t>NOT NULL, FK -&gt; users.id, UNIQUE với threadId</t>
  </si>
  <si>
    <t>Người tham gia</t>
  </si>
  <si>
    <t>joinedAt</t>
  </si>
  <si>
    <t>Thời điểm tham gia</t>
  </si>
  <si>
    <t>33. chat_messages - Lưu tin nhắn</t>
  </si>
  <si>
    <t>Mã tin nhắn</t>
  </si>
  <si>
    <t>NOT NULL, FK -&gt; chat_threads.id</t>
  </si>
  <si>
    <t>senderUserId</t>
  </si>
  <si>
    <t>Người gửi</t>
  </si>
  <si>
    <t>messageText</t>
  </si>
  <si>
    <t>Nội dung tin nhắn</t>
  </si>
  <si>
    <t>34. notifications - Lưu thông báo theo người dùng</t>
  </si>
  <si>
    <t>Mã thông báo</t>
  </si>
  <si>
    <t>Người nhận</t>
  </si>
  <si>
    <t>scope</t>
  </si>
  <si>
    <t>Phạm vi thông báo</t>
  </si>
  <si>
    <t>Loại thông báo</t>
  </si>
  <si>
    <t>Tiêu đề</t>
  </si>
  <si>
    <t>entityType</t>
  </si>
  <si>
    <t>Loại đối tượng liên quan</t>
  </si>
  <si>
    <t>entityId</t>
  </si>
  <si>
    <t>Mã đối tượng liên quan</t>
  </si>
  <si>
    <t>isRead</t>
  </si>
  <si>
    <t>Đã đọc hay chưa</t>
  </si>
  <si>
    <t>readAt</t>
  </si>
  <si>
    <t>Thời điểm đọc</t>
  </si>
  <si>
    <t>IX. Quan hệ chính trong ERD</t>
  </si>
  <si>
    <t>Quan hệ</t>
  </si>
  <si>
    <t>Diễn giải</t>
  </si>
  <si>
    <t>users 1-0..1 customer_profiles / organizer_profiles / admin_profiles / staff_profiles</t>
  </si>
  <si>
    <t>Mỗi user có tối đa một hồ sơ theo vai trò</t>
  </si>
  <si>
    <t>service_categories 1-n services</t>
  </si>
  <si>
    <t>Một danh mục có nhiều dịch vụ</t>
  </si>
  <si>
    <t>consultation_requests 1-n events</t>
  </si>
  <si>
    <t>Một yêu cầu có thể chuyển thành một hoặc nhiều sự kiện</t>
  </si>
  <si>
    <t>users 1-n events</t>
  </si>
  <si>
    <t>User có thể là khách hàng hoặc organizer của nhiều sự kiện</t>
  </si>
  <si>
    <t>events 1-n event_milestones, event_activities, project_tasks</t>
  </si>
  <si>
    <t>Sự kiện là thực thể trung tâm của triển khai</t>
  </si>
  <si>
    <t>project_tasks 1-n task_status_histories</t>
  </si>
  <si>
    <t>Task có lịch sử chuyển trạng thái</t>
  </si>
  <si>
    <t>vendor_categories 1-n vendors</t>
  </si>
  <si>
    <t>Một danh mục có nhiều nhà cung cấp</t>
  </si>
  <si>
    <t>events n-n vendors qua event_vendors</t>
  </si>
  <si>
    <t>Một sự kiện có nhiều vendor và một vendor tham gia nhiều sự kiện</t>
  </si>
  <si>
    <t>events n-n users(staff) qua event_staff_assignments</t>
  </si>
  <si>
    <t>Một sự kiện có nhiều nhân sự và nhân sự tham gia nhiều sự kiện</t>
  </si>
  <si>
    <t>events 1-n contracts, documents, transactions, project_budgets</t>
  </si>
  <si>
    <t>Dữ liệu hợp đồng và tài chính gắn theo sự kiện</t>
  </si>
  <si>
    <t>project_budgets 1-n budget_items</t>
  </si>
  <si>
    <t>Ngân sách gồm nhiều hạng mục</t>
  </si>
  <si>
    <t>events 1-n reviews; reviews 1-n review_scores</t>
  </si>
  <si>
    <t>Khách hàng đánh giá sự kiện và chấm theo tiêu chí</t>
  </si>
  <si>
    <t>events 1-n chat_threads; chat_threads 1-n chat_messages</t>
  </si>
  <si>
    <t>Trao đổi theo từng sự kiện</t>
  </si>
  <si>
    <t>users 1-n notifications</t>
  </si>
  <si>
    <t>Mỗi user nhận nhiều thông báo</t>
  </si>
  <si>
    <t>X. Danh mục trạng thái chính</t>
  </si>
  <si>
    <t>Nhóm</t>
  </si>
  <si>
    <t>Giá trị</t>
  </si>
  <si>
    <t>User role</t>
  </si>
  <si>
    <t>admin, organizer, customer, staff</t>
  </si>
  <si>
    <t>User status</t>
  </si>
  <si>
    <t>active, inactive, suspended</t>
  </si>
  <si>
    <t>Staff employment status</t>
  </si>
  <si>
    <t>active, inactive</t>
  </si>
  <si>
    <t>Request status</t>
  </si>
  <si>
    <t>new, reviewing, quoted, confirmed, rejected</t>
  </si>
  <si>
    <t>Event status</t>
  </si>
  <si>
    <t>draft, planning, quoted, contracted, in_progress, completed, cancelled</t>
  </si>
  <si>
    <t>Milestone status</t>
  </si>
  <si>
    <t>todo, in_progress, done</t>
  </si>
  <si>
    <t>Task status</t>
  </si>
  <si>
    <t>todo, in_progress, review, done</t>
  </si>
  <si>
    <t>Task priority</t>
  </si>
  <si>
    <t>low, medium, high</t>
  </si>
  <si>
    <t>Vendor status</t>
  </si>
  <si>
    <t>active, paused, inactive</t>
  </si>
  <si>
    <t>Assignment status</t>
  </si>
  <si>
    <t>invited, confirmed, declined</t>
  </si>
  <si>
    <t>Contract status</t>
  </si>
  <si>
    <t>draft, sent, active, liquidated, cancelled</t>
  </si>
  <si>
    <t>Document status</t>
  </si>
  <si>
    <t>pending, approved, signed, rejected</t>
  </si>
  <si>
    <t>Transaction status</t>
  </si>
  <si>
    <t>pending, completed, cancelled</t>
  </si>
  <si>
    <t>Budget item status</t>
  </si>
  <si>
    <t>planned, approved, committed, paid</t>
  </si>
  <si>
    <t>Review status</t>
  </si>
  <si>
    <t>pending, approved, hidden</t>
  </si>
  <si>
    <t>Blog status</t>
  </si>
  <si>
    <t>draft, scheduled, published, hidden</t>
  </si>
  <si>
    <t>Portfolio status</t>
  </si>
  <si>
    <t>visible, hidden</t>
  </si>
  <si>
    <t>Mã Mermaid sơ đồ tổng quan</t>
  </si>
  <si>
    <t>Dòng</t>
  </si>
  <si>
    <t>Nội dung Mermaid</t>
  </si>
  <si>
    <t>flowchart LR</t>
  </si>
  <si>
    <t xml:space="preserve">  Visitor[Khach vang lai]:::actor</t>
  </si>
  <si>
    <t xml:space="preserve">  Customer[Khach hang]:::actor</t>
  </si>
  <si>
    <t xml:space="preserve">  Organizer[Organizer]:::actor</t>
  </si>
  <si>
    <t xml:space="preserve">  Staff[Nhan su su kien&lt;br/&gt;tai khoan staff]:::actor</t>
  </si>
  <si>
    <t xml:space="preserve">  Admin[Admin]:::actor</t>
  </si>
  <si>
    <t xml:space="preserve">  subgraph Frontend["Frontend - NiChan Event (React, Vite, TypeScript)"]</t>
  </si>
  <si>
    <t xml:space="preserve">    PublicSite[Website cong khai&lt;br/&gt;Dich vu, portfolio, blog, lien he]:::ui</t>
  </si>
  <si>
    <t xml:space="preserve">    CustomerPortal[Customer portal&lt;br/&gt;Su kien, hop dong, giao dich, review]:::ui</t>
  </si>
  <si>
    <t xml:space="preserve">    OrganizerPortal[Organizer portal&lt;br/&gt;Du an, task, ngan sach, nhan su, vendor]:::ui</t>
  </si>
  <si>
    <t xml:space="preserve">    AdminPanel[Admin panel&lt;br/&gt;Yeu cau, users, du an, hop dong, finance, content]:::ui</t>
  </si>
  <si>
    <t xml:space="preserve">  end</t>
  </si>
  <si>
    <t xml:space="preserve">  subgraph Backend["Backend API - NiChan (Express, Prisma, Socket.IO)"]</t>
  </si>
  <si>
    <t xml:space="preserve">    AuthAPI[Auth &amp; profile]:::api</t>
  </si>
  <si>
    <t xml:space="preserve">    PublicAPI[Public content&lt;br/&gt;Consultation requests]:::api</t>
  </si>
  <si>
    <t xml:space="preserve">    CustomerAPI[Customer APIs]:::api</t>
  </si>
  <si>
    <t xml:space="preserve">    OrganizerAPI[Organizer APIs]:::api</t>
  </si>
  <si>
    <t>20</t>
  </si>
  <si>
    <t xml:space="preserve">    AdminAPI[Admin APIs]:::api</t>
  </si>
  <si>
    <t>21</t>
  </si>
  <si>
    <t xml:space="preserve">    ReportsAPI[Reports APIs]:::api</t>
  </si>
  <si>
    <t>22</t>
  </si>
  <si>
    <t xml:space="preserve">    UploadAPI[Upload APIs]:::api</t>
  </si>
  <si>
    <t>23</t>
  </si>
  <si>
    <t xml:space="preserve">    Realtime[Realtime notifications&lt;br/&gt;Chat socket]:::api</t>
  </si>
  <si>
    <t>24</t>
  </si>
  <si>
    <t>25</t>
  </si>
  <si>
    <t>26</t>
  </si>
  <si>
    <t xml:space="preserve">  DB[(PostgreSQL&lt;br/&gt;NiChan database)]:::db</t>
  </si>
  <si>
    <t>27</t>
  </si>
  <si>
    <t xml:space="preserve">  Storage[(Cloudinary / file storage)]:::external</t>
  </si>
  <si>
    <t>28</t>
  </si>
  <si>
    <t xml:space="preserve">  Email[(Email service)]:::external</t>
  </si>
  <si>
    <t>29</t>
  </si>
  <si>
    <t xml:space="preserve">  Payment[(Payment gateway&lt;br/&gt;mo rong)]:::external</t>
  </si>
  <si>
    <t>30</t>
  </si>
  <si>
    <t>31</t>
  </si>
  <si>
    <t xml:space="preserve">  Visitor --&gt; PublicSite</t>
  </si>
  <si>
    <t>32</t>
  </si>
  <si>
    <t xml:space="preserve">  Customer --&gt; PublicSite</t>
  </si>
  <si>
    <t>33</t>
  </si>
  <si>
    <t xml:space="preserve">  Customer --&gt; CustomerPortal</t>
  </si>
  <si>
    <t>34</t>
  </si>
  <si>
    <t xml:space="preserve">  Organizer --&gt; OrganizerPortal</t>
  </si>
  <si>
    <t>35</t>
  </si>
  <si>
    <t xml:space="preserve">  Staff -. duoc quan ly boi admin/organizer .-&gt; OrganizerPortal</t>
  </si>
  <si>
    <t>36</t>
  </si>
  <si>
    <t xml:space="preserve">  Admin --&gt; AdminPanel</t>
  </si>
  <si>
    <t>37</t>
  </si>
  <si>
    <t>38</t>
  </si>
  <si>
    <t xml:space="preserve">  PublicSite --&gt; PublicAPI</t>
  </si>
  <si>
    <t>39</t>
  </si>
  <si>
    <t xml:space="preserve">  PublicSite --&gt; AuthAPI</t>
  </si>
  <si>
    <t>40</t>
  </si>
  <si>
    <t xml:space="preserve">  CustomerPortal --&gt; CustomerAPI</t>
  </si>
  <si>
    <t>41</t>
  </si>
  <si>
    <t xml:space="preserve">  CustomerPortal --&gt; AuthAPI</t>
  </si>
  <si>
    <t>42</t>
  </si>
  <si>
    <t xml:space="preserve">  CustomerPortal --&gt; Realtime</t>
  </si>
  <si>
    <t>43</t>
  </si>
  <si>
    <t xml:space="preserve">  OrganizerPortal --&gt; OrganizerAPI</t>
  </si>
  <si>
    <t>44</t>
  </si>
  <si>
    <t xml:space="preserve">  OrganizerPortal --&gt; ReportsAPI</t>
  </si>
  <si>
    <t>45</t>
  </si>
  <si>
    <t xml:space="preserve">  OrganizerPortal --&gt; Realtime</t>
  </si>
  <si>
    <t>46</t>
  </si>
  <si>
    <t xml:space="preserve">  AdminPanel --&gt; AdminAPI</t>
  </si>
  <si>
    <t>47</t>
  </si>
  <si>
    <t xml:space="preserve">  AdminPanel --&gt; ReportsAPI</t>
  </si>
  <si>
    <t>48</t>
  </si>
  <si>
    <t xml:space="preserve">  AdminPanel --&gt; UploadAPI</t>
  </si>
  <si>
    <t>49</t>
  </si>
  <si>
    <t xml:space="preserve">  AdminPanel --&gt; Realtime</t>
  </si>
  <si>
    <t>50</t>
  </si>
  <si>
    <t>51</t>
  </si>
  <si>
    <t xml:space="preserve">  AuthAPI --&gt; DB</t>
  </si>
  <si>
    <t>52</t>
  </si>
  <si>
    <t xml:space="preserve">  PublicAPI --&gt; DB</t>
  </si>
  <si>
    <t>53</t>
  </si>
  <si>
    <t xml:space="preserve">  CustomerAPI --&gt; DB</t>
  </si>
  <si>
    <t>54</t>
  </si>
  <si>
    <t xml:space="preserve">  OrganizerAPI --&gt; DB</t>
  </si>
  <si>
    <t>55</t>
  </si>
  <si>
    <t xml:space="preserve">  AdminAPI --&gt; DB</t>
  </si>
  <si>
    <t>56</t>
  </si>
  <si>
    <t xml:space="preserve">  ReportsAPI --&gt; DB</t>
  </si>
  <si>
    <t>57</t>
  </si>
  <si>
    <t xml:space="preserve">  Realtime --&gt; DB</t>
  </si>
  <si>
    <t>58</t>
  </si>
  <si>
    <t>59</t>
  </si>
  <si>
    <t xml:space="preserve">  UploadAPI --&gt; Storage</t>
  </si>
  <si>
    <t>60</t>
  </si>
  <si>
    <t xml:space="preserve">  PublicAPI -. email xac nhan .-&gt; Email</t>
  </si>
  <si>
    <t>61</t>
  </si>
  <si>
    <t xml:space="preserve">  AdminAPI -. gui hop dong / thong bao .-&gt; Email</t>
  </si>
  <si>
    <t>62</t>
  </si>
  <si>
    <t xml:space="preserve">  CustomerAPI -. thanh toan online mo rong .-&gt; Payment</t>
  </si>
  <si>
    <t>63</t>
  </si>
  <si>
    <t xml:space="preserve">  AdminAPI -. doi soat giao dich mo rong .-&gt; Payment</t>
  </si>
  <si>
    <t>64</t>
  </si>
  <si>
    <t>65</t>
  </si>
  <si>
    <t xml:space="preserve">  classDef actor fill:#E8F3FF,stroke:#2F6B9A,color:#111;</t>
  </si>
  <si>
    <t>66</t>
  </si>
  <si>
    <t xml:space="preserve">  classDef ui fill:#F7FAFC,stroke:#64748B,color:#111;</t>
  </si>
  <si>
    <t>67</t>
  </si>
  <si>
    <t xml:space="preserve">  classDef api fill:#FFF4D6,stroke:#B7791F,color:#111;</t>
  </si>
  <si>
    <t>68</t>
  </si>
  <si>
    <t xml:space="preserve">  classDef db fill:#EAF8EA,stroke:#2F855A,color:#111;</t>
  </si>
  <si>
    <t>69</t>
  </si>
  <si>
    <t xml:space="preserve">  classDef external fill:#F3E8FF,stroke:#7E22CE,color:#111;</t>
  </si>
  <si>
    <t>70</t>
  </si>
  <si>
    <t>Mã Mermaid ERD đầy đủ</t>
  </si>
  <si>
    <t>erDiagram</t>
  </si>
  <si>
    <t xml:space="preserve">  users {</t>
  </si>
  <si>
    <t xml:space="preserve">    string id PK</t>
  </si>
  <si>
    <t xml:space="preserve">    string email UK</t>
  </si>
  <si>
    <t xml:space="preserve">    string passwordHash</t>
  </si>
  <si>
    <t xml:space="preserve">    string role</t>
  </si>
  <si>
    <t xml:space="preserve">    string status</t>
  </si>
  <si>
    <t xml:space="preserve">    string displayName</t>
  </si>
  <si>
    <t xml:space="preserve">    string phone</t>
  </si>
  <si>
    <t xml:space="preserve">    string avatarUrl</t>
  </si>
  <si>
    <t xml:space="preserve">    datetime lastLoginAt</t>
  </si>
  <si>
    <t xml:space="preserve">    datetime createdAt</t>
  </si>
  <si>
    <t xml:space="preserve">    datetime updatedAt</t>
  </si>
  <si>
    <t xml:space="preserve">    datetime deletedAt</t>
  </si>
  <si>
    <t xml:space="preserve">  }</t>
  </si>
  <si>
    <t xml:space="preserve">  customer_profiles {</t>
  </si>
  <si>
    <t xml:space="preserve">    string userId PK</t>
  </si>
  <si>
    <t xml:space="preserve">    string fullName</t>
  </si>
  <si>
    <t xml:space="preserve">    string address</t>
  </si>
  <si>
    <t xml:space="preserve">    string bio</t>
  </si>
  <si>
    <t xml:space="preserve">    datetime birthDate</t>
  </si>
  <si>
    <t xml:space="preserve">  organizer_profiles {</t>
  </si>
  <si>
    <t xml:space="preserve">    string jobTitle</t>
  </si>
  <si>
    <t xml:space="preserve">  admin_profiles {</t>
  </si>
  <si>
    <t xml:space="preserve">  staff_profiles {</t>
  </si>
  <si>
    <t xml:space="preserve">    string employmentStatus</t>
  </si>
  <si>
    <t xml:space="preserve">  service_categories {</t>
  </si>
  <si>
    <t xml:space="preserve">    string name</t>
  </si>
  <si>
    <t xml:space="preserve">    string slug UK</t>
  </si>
  <si>
    <t xml:space="preserve">    string description</t>
  </si>
  <si>
    <t xml:space="preserve">    int sortOrder</t>
  </si>
  <si>
    <t xml:space="preserve">    boolean isActive</t>
  </si>
  <si>
    <t xml:space="preserve">  services {</t>
  </si>
  <si>
    <t xml:space="preserve">    string categoryId FK</t>
  </si>
  <si>
    <t xml:space="preserve">    string title</t>
  </si>
  <si>
    <t xml:space="preserve">    string shortDescription</t>
  </si>
  <si>
    <t xml:space="preserve">    decimal priceFrom</t>
  </si>
  <si>
    <t xml:space="preserve">    decimal priceTo</t>
  </si>
  <si>
    <t xml:space="preserve">    int guestFrom</t>
  </si>
  <si>
    <t xml:space="preserve">    int guestTo</t>
  </si>
  <si>
    <t xml:space="preserve">    string locationText</t>
  </si>
  <si>
    <t xml:space="preserve">    string coverImageUrl</t>
  </si>
  <si>
    <t xml:space="preserve">    boolean isFeatured</t>
  </si>
  <si>
    <t>71</t>
  </si>
  <si>
    <t>72</t>
  </si>
  <si>
    <t>73</t>
  </si>
  <si>
    <t>74</t>
  </si>
  <si>
    <t xml:space="preserve">  portfolio_items {</t>
  </si>
  <si>
    <t>75</t>
  </si>
  <si>
    <t>76</t>
  </si>
  <si>
    <t>77</t>
  </si>
  <si>
    <t>78</t>
  </si>
  <si>
    <t xml:space="preserve">    string category</t>
  </si>
  <si>
    <t>79</t>
  </si>
  <si>
    <t xml:space="preserve">    int guestCount</t>
  </si>
  <si>
    <t>80</t>
  </si>
  <si>
    <t>81</t>
  </si>
  <si>
    <t>82</t>
  </si>
  <si>
    <t xml:space="preserve">    int viewCount</t>
  </si>
  <si>
    <t>83</t>
  </si>
  <si>
    <t xml:space="preserve">    string eventId FK</t>
  </si>
  <si>
    <t>84</t>
  </si>
  <si>
    <t xml:space="preserve">    datetime publishedAt</t>
  </si>
  <si>
    <t>85</t>
  </si>
  <si>
    <t>86</t>
  </si>
  <si>
    <t>87</t>
  </si>
  <si>
    <t>88</t>
  </si>
  <si>
    <t>89</t>
  </si>
  <si>
    <t xml:space="preserve">  blog_posts {</t>
  </si>
  <si>
    <t>90</t>
  </si>
  <si>
    <t>91</t>
  </si>
  <si>
    <t>92</t>
  </si>
  <si>
    <t>93</t>
  </si>
  <si>
    <t>94</t>
  </si>
  <si>
    <t xml:space="preserve">    string excerpt</t>
  </si>
  <si>
    <t>95</t>
  </si>
  <si>
    <t xml:space="preserve">    string content</t>
  </si>
  <si>
    <t>96</t>
  </si>
  <si>
    <t>97</t>
  </si>
  <si>
    <t>98</t>
  </si>
  <si>
    <t>99</t>
  </si>
  <si>
    <t>100</t>
  </si>
  <si>
    <t xml:space="preserve">    string createdById FK</t>
  </si>
  <si>
    <t>101</t>
  </si>
  <si>
    <t xml:space="preserve">    string updatedById FK</t>
  </si>
  <si>
    <t>102</t>
  </si>
  <si>
    <t>103</t>
  </si>
  <si>
    <t>104</t>
  </si>
  <si>
    <t>105</t>
  </si>
  <si>
    <t>106</t>
  </si>
  <si>
    <t xml:space="preserve">  testimonials {</t>
  </si>
  <si>
    <t>107</t>
  </si>
  <si>
    <t>108</t>
  </si>
  <si>
    <t xml:space="preserve">    string customerName</t>
  </si>
  <si>
    <t>109</t>
  </si>
  <si>
    <t xml:space="preserve">    string roleText</t>
  </si>
  <si>
    <t>110</t>
  </si>
  <si>
    <t>111</t>
  </si>
  <si>
    <t xml:space="preserve">    int rating</t>
  </si>
  <si>
    <t>112</t>
  </si>
  <si>
    <t>113</t>
  </si>
  <si>
    <t>114</t>
  </si>
  <si>
    <t>115</t>
  </si>
  <si>
    <t>116</t>
  </si>
  <si>
    <t xml:space="preserve">  consultation_requests {</t>
  </si>
  <si>
    <t>117</t>
  </si>
  <si>
    <t>118</t>
  </si>
  <si>
    <t xml:space="preserve">    string requestCode UK</t>
  </si>
  <si>
    <t>119</t>
  </si>
  <si>
    <t>120</t>
  </si>
  <si>
    <t>121</t>
  </si>
  <si>
    <t xml:space="preserve">    string email</t>
  </si>
  <si>
    <t>122</t>
  </si>
  <si>
    <t xml:space="preserve">    string eventType</t>
  </si>
  <si>
    <t>123</t>
  </si>
  <si>
    <t xml:space="preserve">    datetime eventDate</t>
  </si>
  <si>
    <t>124</t>
  </si>
  <si>
    <t>125</t>
  </si>
  <si>
    <t xml:space="preserve">    string budgetRange</t>
  </si>
  <si>
    <t>126</t>
  </si>
  <si>
    <t>127</t>
  </si>
  <si>
    <t xml:space="preserve">    string note</t>
  </si>
  <si>
    <t>128</t>
  </si>
  <si>
    <t>129</t>
  </si>
  <si>
    <t xml:space="preserve">    string assignedManagerId FK</t>
  </si>
  <si>
    <t>130</t>
  </si>
  <si>
    <t xml:space="preserve">    string customerUserId FK</t>
  </si>
  <si>
    <t>131</t>
  </si>
  <si>
    <t xml:space="preserve">    datetime quotedAt</t>
  </si>
  <si>
    <t>132</t>
  </si>
  <si>
    <t xml:space="preserve">    datetime confirmedAt</t>
  </si>
  <si>
    <t>133</t>
  </si>
  <si>
    <t xml:space="preserve">    datetime rejectedAt</t>
  </si>
  <si>
    <t>134</t>
  </si>
  <si>
    <t>135</t>
  </si>
  <si>
    <t>136</t>
  </si>
  <si>
    <t>137</t>
  </si>
  <si>
    <t>138</t>
  </si>
  <si>
    <t xml:space="preserve">  events {</t>
  </si>
  <si>
    <t>139</t>
  </si>
  <si>
    <t>140</t>
  </si>
  <si>
    <t>141</t>
  </si>
  <si>
    <t>142</t>
  </si>
  <si>
    <t xml:space="preserve">    string type</t>
  </si>
  <si>
    <t>143</t>
  </si>
  <si>
    <t>144</t>
  </si>
  <si>
    <t>145</t>
  </si>
  <si>
    <t xml:space="preserve">    string organizerUserId FK</t>
  </si>
  <si>
    <t>146</t>
  </si>
  <si>
    <t xml:space="preserve">    string consultationRequestId FK</t>
  </si>
  <si>
    <t>147</t>
  </si>
  <si>
    <t>148</t>
  </si>
  <si>
    <t>149</t>
  </si>
  <si>
    <t>150</t>
  </si>
  <si>
    <t xml:space="preserve">    decimal budgetEstimated</t>
  </si>
  <si>
    <t>151</t>
  </si>
  <si>
    <t xml:space="preserve">    decimal budgetActual</t>
  </si>
  <si>
    <t>152</t>
  </si>
  <si>
    <t xml:space="preserve">    int progressPercent</t>
  </si>
  <si>
    <t>153</t>
  </si>
  <si>
    <t xml:space="preserve">    string summary</t>
  </si>
  <si>
    <t>154</t>
  </si>
  <si>
    <t>155</t>
  </si>
  <si>
    <t>156</t>
  </si>
  <si>
    <t xml:space="preserve">    datetime completedAt</t>
  </si>
  <si>
    <t>157</t>
  </si>
  <si>
    <t>158</t>
  </si>
  <si>
    <t>159</t>
  </si>
  <si>
    <t xml:space="preserve">  event_milestones {</t>
  </si>
  <si>
    <t>160</t>
  </si>
  <si>
    <t>161</t>
  </si>
  <si>
    <t>162</t>
  </si>
  <si>
    <t>163</t>
  </si>
  <si>
    <t>164</t>
  </si>
  <si>
    <t xml:space="preserve">    datetime milestoneDate</t>
  </si>
  <si>
    <t>165</t>
  </si>
  <si>
    <t>166</t>
  </si>
  <si>
    <t>167</t>
  </si>
  <si>
    <t>168</t>
  </si>
  <si>
    <t>169</t>
  </si>
  <si>
    <t>170</t>
  </si>
  <si>
    <t>171</t>
  </si>
  <si>
    <t xml:space="preserve">  event_activities {</t>
  </si>
  <si>
    <t>172</t>
  </si>
  <si>
    <t>173</t>
  </si>
  <si>
    <t>174</t>
  </si>
  <si>
    <t xml:space="preserve">    string actorUserId FK</t>
  </si>
  <si>
    <t>175</t>
  </si>
  <si>
    <t xml:space="preserve">    string iconName</t>
  </si>
  <si>
    <t>176</t>
  </si>
  <si>
    <t xml:space="preserve">    string message</t>
  </si>
  <si>
    <t>177</t>
  </si>
  <si>
    <t>178</t>
  </si>
  <si>
    <t>179</t>
  </si>
  <si>
    <t>180</t>
  </si>
  <si>
    <t xml:space="preserve">  project_tasks {</t>
  </si>
  <si>
    <t>181</t>
  </si>
  <si>
    <t>182</t>
  </si>
  <si>
    <t>183</t>
  </si>
  <si>
    <t>184</t>
  </si>
  <si>
    <t>185</t>
  </si>
  <si>
    <t>186</t>
  </si>
  <si>
    <t xml:space="preserve">    string priority</t>
  </si>
  <si>
    <t>187</t>
  </si>
  <si>
    <t xml:space="preserve">    string assigneeUserId FK</t>
  </si>
  <si>
    <t>188</t>
  </si>
  <si>
    <t xml:space="preserve">    datetime dueAt</t>
  </si>
  <si>
    <t>189</t>
  </si>
  <si>
    <t>190</t>
  </si>
  <si>
    <t>191</t>
  </si>
  <si>
    <t>192</t>
  </si>
  <si>
    <t>193</t>
  </si>
  <si>
    <t>194</t>
  </si>
  <si>
    <t>195</t>
  </si>
  <si>
    <t>196</t>
  </si>
  <si>
    <t xml:space="preserve">  task_status_histories {</t>
  </si>
  <si>
    <t>197</t>
  </si>
  <si>
    <t>198</t>
  </si>
  <si>
    <t xml:space="preserve">    string taskId FK</t>
  </si>
  <si>
    <t>199</t>
  </si>
  <si>
    <t xml:space="preserve">    string fromStatus</t>
  </si>
  <si>
    <t>200</t>
  </si>
  <si>
    <t xml:space="preserve">    string toStatus</t>
  </si>
  <si>
    <t>201</t>
  </si>
  <si>
    <t xml:space="preserve">    string changedById FK</t>
  </si>
  <si>
    <t>202</t>
  </si>
  <si>
    <t xml:space="preserve">    datetime changedAt</t>
  </si>
  <si>
    <t>203</t>
  </si>
  <si>
    <t>204</t>
  </si>
  <si>
    <t>205</t>
  </si>
  <si>
    <t xml:space="preserve">  vendor_categories {</t>
  </si>
  <si>
    <t>206</t>
  </si>
  <si>
    <t>207</t>
  </si>
  <si>
    <t>208</t>
  </si>
  <si>
    <t>209</t>
  </si>
  <si>
    <t>210</t>
  </si>
  <si>
    <t>211</t>
  </si>
  <si>
    <t>212</t>
  </si>
  <si>
    <t xml:space="preserve">  vendors {</t>
  </si>
  <si>
    <t>213</t>
  </si>
  <si>
    <t>214</t>
  </si>
  <si>
    <t>215</t>
  </si>
  <si>
    <t>216</t>
  </si>
  <si>
    <t>217</t>
  </si>
  <si>
    <t>218</t>
  </si>
  <si>
    <t xml:space="preserve">    string contactName</t>
  </si>
  <si>
    <t>219</t>
  </si>
  <si>
    <t>220</t>
  </si>
  <si>
    <t xml:space="preserve">    decimal ratingAvg</t>
  </si>
  <si>
    <t>221</t>
  </si>
  <si>
    <t>222</t>
  </si>
  <si>
    <t>223</t>
  </si>
  <si>
    <t>224</t>
  </si>
  <si>
    <t>225</t>
  </si>
  <si>
    <t>226</t>
  </si>
  <si>
    <t>227</t>
  </si>
  <si>
    <t xml:space="preserve">  event_vendors {</t>
  </si>
  <si>
    <t>228</t>
  </si>
  <si>
    <t>229</t>
  </si>
  <si>
    <t>230</t>
  </si>
  <si>
    <t xml:space="preserve">    string vendorId FK</t>
  </si>
  <si>
    <t>231</t>
  </si>
  <si>
    <t xml:space="preserve">    string serviceNote</t>
  </si>
  <si>
    <t>232</t>
  </si>
  <si>
    <t xml:space="preserve">    decimal contractValue</t>
  </si>
  <si>
    <t>233</t>
  </si>
  <si>
    <t>234</t>
  </si>
  <si>
    <t>235</t>
  </si>
  <si>
    <t>236</t>
  </si>
  <si>
    <t>237</t>
  </si>
  <si>
    <t xml:space="preserve">  shift_schedules {</t>
  </si>
  <si>
    <t>238</t>
  </si>
  <si>
    <t>239</t>
  </si>
  <si>
    <t xml:space="preserve">    string staffUserId FK</t>
  </si>
  <si>
    <t>240</t>
  </si>
  <si>
    <t xml:space="preserve">    datetime workDate</t>
  </si>
  <si>
    <t>241</t>
  </si>
  <si>
    <t xml:space="preserve">    string startTime</t>
  </si>
  <si>
    <t>242</t>
  </si>
  <si>
    <t xml:space="preserve">    string endTime</t>
  </si>
  <si>
    <t>243</t>
  </si>
  <si>
    <t>244</t>
  </si>
  <si>
    <t>245</t>
  </si>
  <si>
    <t>246</t>
  </si>
  <si>
    <t>247</t>
  </si>
  <si>
    <t>248</t>
  </si>
  <si>
    <t>249</t>
  </si>
  <si>
    <t xml:space="preserve">  event_staff_assignments {</t>
  </si>
  <si>
    <t>250</t>
  </si>
  <si>
    <t>251</t>
  </si>
  <si>
    <t>252</t>
  </si>
  <si>
    <t>253</t>
  </si>
  <si>
    <t>254</t>
  </si>
  <si>
    <t>255</t>
  </si>
  <si>
    <t xml:space="preserve">    datetime assignedAt</t>
  </si>
  <si>
    <t>256</t>
  </si>
  <si>
    <t>257</t>
  </si>
  <si>
    <t>258</t>
  </si>
  <si>
    <t xml:space="preserve">  contracts {</t>
  </si>
  <si>
    <t>259</t>
  </si>
  <si>
    <t>260</t>
  </si>
  <si>
    <t xml:space="preserve">    string contractCode UK</t>
  </si>
  <si>
    <t>261</t>
  </si>
  <si>
    <t>262</t>
  </si>
  <si>
    <t>263</t>
  </si>
  <si>
    <t>264</t>
  </si>
  <si>
    <t xml:space="preserve">    string currentVersion</t>
  </si>
  <si>
    <t>265</t>
  </si>
  <si>
    <t xml:space="preserve">    datetime signedAt</t>
  </si>
  <si>
    <t>266</t>
  </si>
  <si>
    <t xml:space="preserve">    datetime sentAt</t>
  </si>
  <si>
    <t>267</t>
  </si>
  <si>
    <t xml:space="preserve">    decimal totalValue</t>
  </si>
  <si>
    <t>268</t>
  </si>
  <si>
    <t>269</t>
  </si>
  <si>
    <t>270</t>
  </si>
  <si>
    <t>271</t>
  </si>
  <si>
    <t>272</t>
  </si>
  <si>
    <t>273</t>
  </si>
  <si>
    <t xml:space="preserve">  contract_versions {</t>
  </si>
  <si>
    <t>274</t>
  </si>
  <si>
    <t>275</t>
  </si>
  <si>
    <t xml:space="preserve">    string contractId FK</t>
  </si>
  <si>
    <t>276</t>
  </si>
  <si>
    <t xml:space="preserve">    string versionLabel</t>
  </si>
  <si>
    <t>277</t>
  </si>
  <si>
    <t xml:space="preserve">    string scopeText</t>
  </si>
  <si>
    <t>278</t>
  </si>
  <si>
    <t xml:space="preserve">    string paymentTerms</t>
  </si>
  <si>
    <t>279</t>
  </si>
  <si>
    <t xml:space="preserve">    string generalTerms</t>
  </si>
  <si>
    <t>280</t>
  </si>
  <si>
    <t xml:space="preserve">    string documentUrl</t>
  </si>
  <si>
    <t>281</t>
  </si>
  <si>
    <t xml:space="preserve">    string createdById</t>
  </si>
  <si>
    <t>282</t>
  </si>
  <si>
    <t>283</t>
  </si>
  <si>
    <t>284</t>
  </si>
  <si>
    <t>285</t>
  </si>
  <si>
    <t xml:space="preserve">  documents {</t>
  </si>
  <si>
    <t>286</t>
  </si>
  <si>
    <t>287</t>
  </si>
  <si>
    <t>288</t>
  </si>
  <si>
    <t>289</t>
  </si>
  <si>
    <t xml:space="preserve">    string uploadedById FK</t>
  </si>
  <si>
    <t>290</t>
  </si>
  <si>
    <t>291</t>
  </si>
  <si>
    <t xml:space="preserve">    string fileType</t>
  </si>
  <si>
    <t>292</t>
  </si>
  <si>
    <t xml:space="preserve">    string fileUrl</t>
  </si>
  <si>
    <t>293</t>
  </si>
  <si>
    <t>294</t>
  </si>
  <si>
    <t>295</t>
  </si>
  <si>
    <t>296</t>
  </si>
  <si>
    <t>297</t>
  </si>
  <si>
    <t xml:space="preserve">  transactions {</t>
  </si>
  <si>
    <t>298</t>
  </si>
  <si>
    <t>299</t>
  </si>
  <si>
    <t>300</t>
  </si>
  <si>
    <t>301</t>
  </si>
  <si>
    <t>302</t>
  </si>
  <si>
    <t xml:space="preserve">    decimal amount</t>
  </si>
  <si>
    <t>303</t>
  </si>
  <si>
    <t xml:space="preserve">    datetime transactionDate</t>
  </si>
  <si>
    <t>304</t>
  </si>
  <si>
    <t xml:space="preserve">    string paymentMethod</t>
  </si>
  <si>
    <t>305</t>
  </si>
  <si>
    <t>306</t>
  </si>
  <si>
    <t>307</t>
  </si>
  <si>
    <t>308</t>
  </si>
  <si>
    <t>309</t>
  </si>
  <si>
    <t xml:space="preserve">  project_budgets {</t>
  </si>
  <si>
    <t>310</t>
  </si>
  <si>
    <t>311</t>
  </si>
  <si>
    <t>312</t>
  </si>
  <si>
    <t>313</t>
  </si>
  <si>
    <t xml:space="preserve">    string currencyCode</t>
  </si>
  <si>
    <t>314</t>
  </si>
  <si>
    <t>315</t>
  </si>
  <si>
    <t>316</t>
  </si>
  <si>
    <t>317</t>
  </si>
  <si>
    <t>318</t>
  </si>
  <si>
    <t xml:space="preserve">  budget_items {</t>
  </si>
  <si>
    <t>319</t>
  </si>
  <si>
    <t>320</t>
  </si>
  <si>
    <t xml:space="preserve">    string projectBudgetId FK</t>
  </si>
  <si>
    <t>321</t>
  </si>
  <si>
    <t>322</t>
  </si>
  <si>
    <t xml:space="preserve">    decimal estimatedAmount</t>
  </si>
  <si>
    <t>323</t>
  </si>
  <si>
    <t xml:space="preserve">    decimal actualAmount</t>
  </si>
  <si>
    <t>324</t>
  </si>
  <si>
    <t>325</t>
  </si>
  <si>
    <t>326</t>
  </si>
  <si>
    <t>327</t>
  </si>
  <si>
    <t>328</t>
  </si>
  <si>
    <t>329</t>
  </si>
  <si>
    <t>330</t>
  </si>
  <si>
    <t>331</t>
  </si>
  <si>
    <t xml:space="preserve">  reviews {</t>
  </si>
  <si>
    <t>332</t>
  </si>
  <si>
    <t>333</t>
  </si>
  <si>
    <t>334</t>
  </si>
  <si>
    <t>335</t>
  </si>
  <si>
    <t xml:space="preserve">    int ratingOverall</t>
  </si>
  <si>
    <t>336</t>
  </si>
  <si>
    <t xml:space="preserve">    string comment</t>
  </si>
  <si>
    <t>337</t>
  </si>
  <si>
    <t>338</t>
  </si>
  <si>
    <t xml:space="preserve">    datetime submittedAt</t>
  </si>
  <si>
    <t>339</t>
  </si>
  <si>
    <t xml:space="preserve">    datetime approvedAt</t>
  </si>
  <si>
    <t>340</t>
  </si>
  <si>
    <t xml:space="preserve">    string approvedById FK</t>
  </si>
  <si>
    <t>341</t>
  </si>
  <si>
    <t>342</t>
  </si>
  <si>
    <t>343</t>
  </si>
  <si>
    <t>344</t>
  </si>
  <si>
    <t>345</t>
  </si>
  <si>
    <t xml:space="preserve">  review_criteria {</t>
  </si>
  <si>
    <t>346</t>
  </si>
  <si>
    <t>347</t>
  </si>
  <si>
    <t xml:space="preserve">    string key UK</t>
  </si>
  <si>
    <t>348</t>
  </si>
  <si>
    <t xml:space="preserve">    string label</t>
  </si>
  <si>
    <t>349</t>
  </si>
  <si>
    <t>350</t>
  </si>
  <si>
    <t>351</t>
  </si>
  <si>
    <t>352</t>
  </si>
  <si>
    <t>353</t>
  </si>
  <si>
    <t xml:space="preserve">  review_scores {</t>
  </si>
  <si>
    <t>354</t>
  </si>
  <si>
    <t>355</t>
  </si>
  <si>
    <t xml:space="preserve">    string reviewId FK</t>
  </si>
  <si>
    <t>356</t>
  </si>
  <si>
    <t xml:space="preserve">    string reviewCriteriaId FK</t>
  </si>
  <si>
    <t>357</t>
  </si>
  <si>
    <t xml:space="preserve">    int score</t>
  </si>
  <si>
    <t>358</t>
  </si>
  <si>
    <t>359</t>
  </si>
  <si>
    <t>360</t>
  </si>
  <si>
    <t xml:space="preserve">  chat_threads {</t>
  </si>
  <si>
    <t>361</t>
  </si>
  <si>
    <t>362</t>
  </si>
  <si>
    <t>363</t>
  </si>
  <si>
    <t>364</t>
  </si>
  <si>
    <t>365</t>
  </si>
  <si>
    <t>366</t>
  </si>
  <si>
    <t xml:space="preserve">  chat_thread_members {</t>
  </si>
  <si>
    <t>367</t>
  </si>
  <si>
    <t>368</t>
  </si>
  <si>
    <t xml:space="preserve">    string threadId FK</t>
  </si>
  <si>
    <t>369</t>
  </si>
  <si>
    <t xml:space="preserve">    string userId FK</t>
  </si>
  <si>
    <t>370</t>
  </si>
  <si>
    <t xml:space="preserve">    datetime joinedAt</t>
  </si>
  <si>
    <t>371</t>
  </si>
  <si>
    <t>372</t>
  </si>
  <si>
    <t>373</t>
  </si>
  <si>
    <t xml:space="preserve">  chat_messages {</t>
  </si>
  <si>
    <t>374</t>
  </si>
  <si>
    <t>375</t>
  </si>
  <si>
    <t>376</t>
  </si>
  <si>
    <t xml:space="preserve">    string senderUserId FK</t>
  </si>
  <si>
    <t>377</t>
  </si>
  <si>
    <t xml:space="preserve">    string messageText</t>
  </si>
  <si>
    <t>378</t>
  </si>
  <si>
    <t>379</t>
  </si>
  <si>
    <t>380</t>
  </si>
  <si>
    <t>381</t>
  </si>
  <si>
    <t>382</t>
  </si>
  <si>
    <t xml:space="preserve">  notifications {</t>
  </si>
  <si>
    <t>383</t>
  </si>
  <si>
    <t>384</t>
  </si>
  <si>
    <t>385</t>
  </si>
  <si>
    <t xml:space="preserve">    string scope</t>
  </si>
  <si>
    <t>386</t>
  </si>
  <si>
    <t>387</t>
  </si>
  <si>
    <t>388</t>
  </si>
  <si>
    <t>389</t>
  </si>
  <si>
    <t xml:space="preserve">    string entityType</t>
  </si>
  <si>
    <t>390</t>
  </si>
  <si>
    <t xml:space="preserve">    string entityId</t>
  </si>
  <si>
    <t>391</t>
  </si>
  <si>
    <t xml:space="preserve">    boolean isRead</t>
  </si>
  <si>
    <t>392</t>
  </si>
  <si>
    <t xml:space="preserve">    datetime readAt</t>
  </si>
  <si>
    <t>393</t>
  </si>
  <si>
    <t>394</t>
  </si>
  <si>
    <t>395</t>
  </si>
  <si>
    <t>396</t>
  </si>
  <si>
    <t xml:space="preserve">  users ||--o| customer_profiles : has</t>
  </si>
  <si>
    <t>397</t>
  </si>
  <si>
    <t xml:space="preserve">  users ||--o| organizer_profiles : has</t>
  </si>
  <si>
    <t>398</t>
  </si>
  <si>
    <t xml:space="preserve">  users ||--o| admin_profiles : has</t>
  </si>
  <si>
    <t>399</t>
  </si>
  <si>
    <t xml:space="preserve">  users ||--o| staff_profiles : has</t>
  </si>
  <si>
    <t>400</t>
  </si>
  <si>
    <t>401</t>
  </si>
  <si>
    <t xml:space="preserve">  service_categories ||--o{ services : categorizes</t>
  </si>
  <si>
    <t>402</t>
  </si>
  <si>
    <t xml:space="preserve">  events ||--o{ portfolio_items : showcases</t>
  </si>
  <si>
    <t>403</t>
  </si>
  <si>
    <t xml:space="preserve">  users ||--o{ blog_posts : creates</t>
  </si>
  <si>
    <t>404</t>
  </si>
  <si>
    <t xml:space="preserve">  users ||--o{ blog_posts : updates</t>
  </si>
  <si>
    <t>405</t>
  </si>
  <si>
    <t>406</t>
  </si>
  <si>
    <t xml:space="preserve">  users ||--o{ consultation_requests : assigned_manager</t>
  </si>
  <si>
    <t>407</t>
  </si>
  <si>
    <t xml:space="preserve">  users ||--o{ consultation_requests : customer</t>
  </si>
  <si>
    <t>408</t>
  </si>
  <si>
    <t xml:space="preserve">  consultation_requests ||--o{ events : converts_to</t>
  </si>
  <si>
    <t>409</t>
  </si>
  <si>
    <t xml:space="preserve">  users ||--o{ events : customer</t>
  </si>
  <si>
    <t>410</t>
  </si>
  <si>
    <t xml:space="preserve">  users ||--o{ events : organizer</t>
  </si>
  <si>
    <t>411</t>
  </si>
  <si>
    <t>412</t>
  </si>
  <si>
    <t xml:space="preserve">  events ||--o{ event_milestones : has</t>
  </si>
  <si>
    <t>413</t>
  </si>
  <si>
    <t xml:space="preserve">  events ||--o{ event_activities : logs</t>
  </si>
  <si>
    <t>414</t>
  </si>
  <si>
    <t xml:space="preserve">  users ||--o{ event_activities : actor</t>
  </si>
  <si>
    <t>415</t>
  </si>
  <si>
    <t xml:space="preserve">  events ||--o{ project_tasks : has</t>
  </si>
  <si>
    <t>416</t>
  </si>
  <si>
    <t xml:space="preserve">  users ||--o{ project_tasks : assignee</t>
  </si>
  <si>
    <t>417</t>
  </si>
  <si>
    <t xml:space="preserve">  users ||--o{ project_tasks : creator</t>
  </si>
  <si>
    <t>418</t>
  </si>
  <si>
    <t xml:space="preserve">  project_tasks ||--o{ task_status_histories : status_history</t>
  </si>
  <si>
    <t>419</t>
  </si>
  <si>
    <t xml:space="preserve">  users ||--o{ task_status_histories : changes</t>
  </si>
  <si>
    <t>420</t>
  </si>
  <si>
    <t>421</t>
  </si>
  <si>
    <t xml:space="preserve">  vendor_categories ||--o{ vendors : categorizes</t>
  </si>
  <si>
    <t>422</t>
  </si>
  <si>
    <t xml:space="preserve">  vendors ||--o{ event_vendors : participates</t>
  </si>
  <si>
    <t>423</t>
  </si>
  <si>
    <t xml:space="preserve">  events ||--o{ event_vendors : uses</t>
  </si>
  <si>
    <t>424</t>
  </si>
  <si>
    <t xml:space="preserve">  users ||--o{ shift_schedules : works</t>
  </si>
  <si>
    <t>425</t>
  </si>
  <si>
    <t xml:space="preserve">  events ||--o{ shift_schedules : schedules</t>
  </si>
  <si>
    <t>426</t>
  </si>
  <si>
    <t xml:space="preserve">  events ||--o{ event_staff_assignments : has</t>
  </si>
  <si>
    <t>427</t>
  </si>
  <si>
    <t xml:space="preserve">  users ||--o{ event_staff_assignments : assigned_staff</t>
  </si>
  <si>
    <t>428</t>
  </si>
  <si>
    <t>429</t>
  </si>
  <si>
    <t xml:space="preserve">  events ||--o{ contracts : has</t>
  </si>
  <si>
    <t>430</t>
  </si>
  <si>
    <t xml:space="preserve">  users ||--o{ contracts : customer</t>
  </si>
  <si>
    <t>431</t>
  </si>
  <si>
    <t xml:space="preserve">  users ||--o{ contracts : creator</t>
  </si>
  <si>
    <t>432</t>
  </si>
  <si>
    <t xml:space="preserve">  contracts ||--o{ contract_versions : versions</t>
  </si>
  <si>
    <t>433</t>
  </si>
  <si>
    <t xml:space="preserve">  events ||--o{ documents : has</t>
  </si>
  <si>
    <t>434</t>
  </si>
  <si>
    <t xml:space="preserve">  contracts ||--o{ documents : attaches</t>
  </si>
  <si>
    <t>435</t>
  </si>
  <si>
    <t xml:space="preserve">  users ||--o{ documents : uploads</t>
  </si>
  <si>
    <t>436</t>
  </si>
  <si>
    <t xml:space="preserve">  events ||--o{ transactions : has</t>
  </si>
  <si>
    <t>437</t>
  </si>
  <si>
    <t xml:space="preserve">  contracts ||--o{ transactions : settles</t>
  </si>
  <si>
    <t>438</t>
  </si>
  <si>
    <t xml:space="preserve">  events ||--o{ project_budgets : has</t>
  </si>
  <si>
    <t>439</t>
  </si>
  <si>
    <t xml:space="preserve">  project_budgets ||--o{ budget_items : contains</t>
  </si>
  <si>
    <t>440</t>
  </si>
  <si>
    <t xml:space="preserve">  vendors ||--o{ budget_items : charges</t>
  </si>
  <si>
    <t>441</t>
  </si>
  <si>
    <t>442</t>
  </si>
  <si>
    <t xml:space="preserve">  events ||--o{ reviews : receives</t>
  </si>
  <si>
    <t>443</t>
  </si>
  <si>
    <t xml:space="preserve">  users ||--o{ reviews : customer</t>
  </si>
  <si>
    <t>444</t>
  </si>
  <si>
    <t xml:space="preserve">  users ||--o{ reviews : approver</t>
  </si>
  <si>
    <t>445</t>
  </si>
  <si>
    <t xml:space="preserve">  reviews ||--o{ review_scores : has</t>
  </si>
  <si>
    <t>446</t>
  </si>
  <si>
    <t xml:space="preserve">  review_criteria ||--o{ review_scores : scores_by</t>
  </si>
  <si>
    <t>447</t>
  </si>
  <si>
    <t>448</t>
  </si>
  <si>
    <t xml:space="preserve">  events ||--o{ chat_threads : has</t>
  </si>
  <si>
    <t>449</t>
  </si>
  <si>
    <t xml:space="preserve">  chat_threads ||--o{ chat_thread_members : members</t>
  </si>
  <si>
    <t>450</t>
  </si>
  <si>
    <t xml:space="preserve">  users ||--o{ chat_thread_members : joins</t>
  </si>
  <si>
    <t>451</t>
  </si>
  <si>
    <t xml:space="preserve">  chat_threads ||--o{ chat_messages : messages</t>
  </si>
  <si>
    <t>452</t>
  </si>
  <si>
    <t xml:space="preserve">  users ||--o{ chat_messages : sends</t>
  </si>
  <si>
    <t>453</t>
  </si>
  <si>
    <t xml:space="preserve">  users ||--o{ notifications : receives</t>
  </si>
  <si>
    <t>454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</si>
</sst>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</font>
    <font>
      <b/>
      <sz val="16"/>
      <color rgb="FF000000"/>
      <name val="Calibri"/>
    </font>
    <font>
      <u/>
      <sz val="11"/>
      <color rgb="FF0563C1"/>
      <name val="Calibri"/>
    </font>
    <font>
      <sz val="10"/>
      <color rgb="FF000000"/>
      <name val="Consolas"/>
    </font>
  </fonts>
  <fills count="6">
    <fill>
      <patternFill patternType="none"/>
    </fill>
    <fill>
      <patternFill patternType="gray125"/>
    </fill>
    <fill>
      <patternFill patternType="solid">
        <fgColor rgb="FFEAF3F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1" fillId="5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opLeftCell="A8" workbookViewId="0">
      <selection activeCell="B15" sqref="B15"/>
    </sheetView>
  </sheetViews>
  <sheetFormatPr defaultRowHeight="14.4" x14ac:dyDescent="0.3"/>
  <cols>
    <col min="1" max="1" width="20" customWidth="1"/>
    <col min="2" max="2" width="42" customWidth="1"/>
    <col min="3" max="3" width="64" customWidth="1"/>
    <col min="4" max="5" width="24" customWidth="1"/>
  </cols>
  <sheetData>
    <row r="1" spans="1:5" ht="28.05" customHeight="1" x14ac:dyDescent="0.3">
      <c r="A1" s="6" t="s">
        <v>0</v>
      </c>
      <c r="B1" s="7"/>
      <c r="C1" s="7"/>
      <c r="D1" s="7"/>
      <c r="E1" s="7"/>
    </row>
    <row r="2" spans="1:5" ht="7.95" customHeight="1" x14ac:dyDescent="0.3">
      <c r="A2" t="s">
        <v>1</v>
      </c>
    </row>
    <row r="3" spans="1:5" ht="22.05" customHeight="1" x14ac:dyDescent="0.3">
      <c r="A3" s="1" t="s">
        <v>2</v>
      </c>
      <c r="B3" s="1" t="s">
        <v>3</v>
      </c>
    </row>
    <row r="4" spans="1:5" ht="28.05" customHeight="1" x14ac:dyDescent="0.3">
      <c r="A4" s="4" t="s">
        <v>4</v>
      </c>
      <c r="B4" s="2" t="s">
        <v>5</v>
      </c>
    </row>
    <row r="5" spans="1:5" ht="28.05" customHeight="1" x14ac:dyDescent="0.3">
      <c r="A5" s="4" t="s">
        <v>6</v>
      </c>
      <c r="B5" s="2" t="s">
        <v>7</v>
      </c>
    </row>
    <row r="6" spans="1:5" ht="28.05" customHeight="1" x14ac:dyDescent="0.3">
      <c r="A6" s="4" t="s">
        <v>8</v>
      </c>
      <c r="B6" s="2" t="s">
        <v>9</v>
      </c>
    </row>
    <row r="7" spans="1:5" ht="28.05" customHeight="1" x14ac:dyDescent="0.3">
      <c r="A7" s="4" t="s">
        <v>10</v>
      </c>
      <c r="B7" s="2" t="s">
        <v>11</v>
      </c>
    </row>
    <row r="8" spans="1:5" ht="28.05" customHeight="1" x14ac:dyDescent="0.3">
      <c r="A8" s="4" t="s">
        <v>12</v>
      </c>
      <c r="B8" s="2" t="s">
        <v>13</v>
      </c>
    </row>
    <row r="9" spans="1:5" ht="28.05" customHeight="1" x14ac:dyDescent="0.3">
      <c r="A9" s="4" t="s">
        <v>14</v>
      </c>
      <c r="B9" s="2" t="s">
        <v>15</v>
      </c>
    </row>
    <row r="10" spans="1:5" ht="28.05" customHeight="1" x14ac:dyDescent="0.3">
      <c r="A10" s="4" t="s">
        <v>16</v>
      </c>
      <c r="B10" s="2" t="s">
        <v>17</v>
      </c>
    </row>
    <row r="11" spans="1:5" ht="7.95" customHeight="1" x14ac:dyDescent="0.3">
      <c r="A11" t="s">
        <v>1</v>
      </c>
    </row>
    <row r="12" spans="1:5" ht="22.05" customHeight="1" x14ac:dyDescent="0.3">
      <c r="A12" s="8" t="s">
        <v>18</v>
      </c>
      <c r="B12" s="7"/>
      <c r="C12" s="7"/>
      <c r="D12" s="7"/>
      <c r="E12" s="7"/>
    </row>
    <row r="13" spans="1:5" ht="22.05" customHeight="1" x14ac:dyDescent="0.3">
      <c r="A13" s="1" t="s">
        <v>19</v>
      </c>
      <c r="B13" s="1" t="s">
        <v>20</v>
      </c>
      <c r="C13" s="1" t="s">
        <v>3</v>
      </c>
    </row>
    <row r="14" spans="1:5" x14ac:dyDescent="0.3">
      <c r="A14" s="2" t="s">
        <v>21</v>
      </c>
      <c r="B14" s="3" t="str">
        <f>HYPERLINK("#'I Users'!A1","I Users")</f>
        <v>I Users</v>
      </c>
      <c r="C14" s="2" t="s">
        <v>22</v>
      </c>
    </row>
    <row r="15" spans="1:5" x14ac:dyDescent="0.3">
      <c r="A15" s="2" t="s">
        <v>23</v>
      </c>
      <c r="B15" s="3" t="str">
        <f>HYPERLINK("#'II Public'!A1","II Public")</f>
        <v>II Public</v>
      </c>
      <c r="C15" s="2" t="s">
        <v>22</v>
      </c>
    </row>
    <row r="16" spans="1:5" x14ac:dyDescent="0.3">
      <c r="A16" s="2" t="s">
        <v>24</v>
      </c>
      <c r="B16" s="3" t="str">
        <f>HYPERLINK("#'III Event'!A1","III Event")</f>
        <v>III Event</v>
      </c>
      <c r="C16" s="2" t="s">
        <v>22</v>
      </c>
    </row>
    <row r="17" spans="1:3" x14ac:dyDescent="0.3">
      <c r="A17" s="2" t="s">
        <v>25</v>
      </c>
      <c r="B17" s="3" t="str">
        <f>HYPERLINK("#'IV Task'!A1","IV Task")</f>
        <v>IV Task</v>
      </c>
      <c r="C17" s="2" t="s">
        <v>22</v>
      </c>
    </row>
    <row r="18" spans="1:3" x14ac:dyDescent="0.3">
      <c r="A18" s="2" t="s">
        <v>26</v>
      </c>
      <c r="B18" s="3" t="str">
        <f>HYPERLINK("#'V Vendor Staff'!A1","V Vendor Staff")</f>
        <v>V Vendor Staff</v>
      </c>
      <c r="C18" s="2" t="s">
        <v>22</v>
      </c>
    </row>
    <row r="19" spans="1:3" x14ac:dyDescent="0.3">
      <c r="A19" s="2" t="s">
        <v>27</v>
      </c>
      <c r="B19" s="3" t="str">
        <f>HYPERLINK("#'VI Finance'!A1","VI Finance")</f>
        <v>VI Finance</v>
      </c>
      <c r="C19" s="2" t="s">
        <v>22</v>
      </c>
    </row>
    <row r="20" spans="1:3" x14ac:dyDescent="0.3">
      <c r="A20" s="2" t="s">
        <v>28</v>
      </c>
      <c r="B20" s="3" t="str">
        <f>HYPERLINK("#'VII Review'!A1","VII Review")</f>
        <v>VII Review</v>
      </c>
      <c r="C20" s="2" t="s">
        <v>22</v>
      </c>
    </row>
    <row r="21" spans="1:3" x14ac:dyDescent="0.3">
      <c r="A21" s="2" t="s">
        <v>29</v>
      </c>
      <c r="B21" s="3" t="str">
        <f>HYPERLINK("#'VIII Chat'!A1","VIII Chat")</f>
        <v>VIII Chat</v>
      </c>
      <c r="C21" s="2" t="s">
        <v>22</v>
      </c>
    </row>
    <row r="22" spans="1:3" x14ac:dyDescent="0.3">
      <c r="A22" s="2" t="s">
        <v>30</v>
      </c>
      <c r="B22" s="3" t="str">
        <f>HYPERLINK("#'IX Quan he'!A1","IX Quan he")</f>
        <v>IX Quan he</v>
      </c>
      <c r="C22" s="2" t="s">
        <v>22</v>
      </c>
    </row>
    <row r="23" spans="1:3" x14ac:dyDescent="0.3">
      <c r="A23" s="2" t="s">
        <v>31</v>
      </c>
      <c r="B23" s="3" t="str">
        <f>HYPERLINK("#'X Trang thai'!A1","X Trang thai")</f>
        <v>X Trang thai</v>
      </c>
      <c r="C23" s="2" t="s">
        <v>22</v>
      </c>
    </row>
    <row r="24" spans="1:3" x14ac:dyDescent="0.3">
      <c r="A24" s="2" t="s">
        <v>32</v>
      </c>
      <c r="B24" s="3" t="str">
        <f>HYPERLINK("#'Diagram Source'!A1","Diagram Source")</f>
        <v>Diagram Source</v>
      </c>
      <c r="C24" s="2" t="s">
        <v>33</v>
      </c>
    </row>
    <row r="25" spans="1:3" x14ac:dyDescent="0.3">
      <c r="A25" s="2" t="s">
        <v>34</v>
      </c>
      <c r="B25" s="3" t="str">
        <f>HYPERLINK("#'ERD Source'!A1","ERD Source")</f>
        <v>ERD Source</v>
      </c>
      <c r="C25" s="2" t="s">
        <v>35</v>
      </c>
    </row>
  </sheetData>
  <mergeCells count="2">
    <mergeCell ref="A1:E1"/>
    <mergeCell ref="A12:E12"/>
  </mergeCells>
  <pageMargins left="0.25" right="0.25" top="0.5" bottom="0.5" header="0.3" footer="0.3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9"/>
  <sheetViews>
    <sheetView workbookViewId="0">
      <pane ySplit="1" topLeftCell="A35" activePane="bottomLeft" state="frozen"/>
      <selection pane="bottomLeft" sqref="A1:E1"/>
    </sheetView>
  </sheetViews>
  <sheetFormatPr defaultRowHeight="14.4" x14ac:dyDescent="0.3"/>
  <cols>
    <col min="1" max="1" width="8" customWidth="1"/>
    <col min="2" max="2" width="32" customWidth="1"/>
    <col min="3" max="3" width="20" customWidth="1"/>
    <col min="4" max="4" width="44" customWidth="1"/>
    <col min="5" max="5" width="64" customWidth="1"/>
  </cols>
  <sheetData>
    <row r="1" spans="1:5" ht="28.05" customHeight="1" x14ac:dyDescent="0.3">
      <c r="A1" s="6" t="s">
        <v>0</v>
      </c>
      <c r="B1" s="7"/>
      <c r="C1" s="7"/>
      <c r="D1" s="7"/>
      <c r="E1" s="7"/>
    </row>
    <row r="2" spans="1:5" ht="22.05" customHeight="1" x14ac:dyDescent="0.3">
      <c r="A2" s="8" t="s">
        <v>36</v>
      </c>
      <c r="B2" s="7"/>
      <c r="C2" s="7"/>
      <c r="D2" s="7"/>
      <c r="E2" s="7"/>
    </row>
    <row r="3" spans="1:5" ht="7.95" customHeight="1" x14ac:dyDescent="0.3">
      <c r="A3" t="s">
        <v>1</v>
      </c>
    </row>
    <row r="4" spans="1:5" ht="24" customHeight="1" x14ac:dyDescent="0.3">
      <c r="A4" s="8" t="s">
        <v>37</v>
      </c>
      <c r="B4" s="7"/>
      <c r="C4" s="7"/>
      <c r="D4" s="7"/>
      <c r="E4" s="7"/>
    </row>
    <row r="5" spans="1:5" ht="22.05" customHeight="1" x14ac:dyDescent="0.3">
      <c r="A5" s="1" t="s">
        <v>19</v>
      </c>
      <c r="B5" s="1" t="s">
        <v>38</v>
      </c>
      <c r="C5" s="1" t="s">
        <v>39</v>
      </c>
      <c r="D5" s="1" t="s">
        <v>40</v>
      </c>
      <c r="E5" s="1" t="s">
        <v>41</v>
      </c>
    </row>
    <row r="6" spans="1:5" ht="30" customHeight="1" x14ac:dyDescent="0.3">
      <c r="A6" s="2" t="s">
        <v>21</v>
      </c>
      <c r="B6" s="2" t="s">
        <v>42</v>
      </c>
      <c r="C6" s="2" t="s">
        <v>43</v>
      </c>
      <c r="D6" s="2" t="s">
        <v>44</v>
      </c>
      <c r="E6" s="2" t="s">
        <v>45</v>
      </c>
    </row>
    <row r="7" spans="1:5" ht="30" customHeight="1" x14ac:dyDescent="0.3">
      <c r="A7" s="2" t="s">
        <v>23</v>
      </c>
      <c r="B7" s="2" t="s">
        <v>46</v>
      </c>
      <c r="C7" s="2" t="s">
        <v>47</v>
      </c>
      <c r="D7" s="2" t="s">
        <v>48</v>
      </c>
      <c r="E7" s="2" t="s">
        <v>49</v>
      </c>
    </row>
    <row r="8" spans="1:5" ht="30" customHeight="1" x14ac:dyDescent="0.3">
      <c r="A8" s="2" t="s">
        <v>24</v>
      </c>
      <c r="B8" s="2" t="s">
        <v>50</v>
      </c>
      <c r="C8" s="2" t="s">
        <v>47</v>
      </c>
      <c r="D8" s="2" t="s">
        <v>51</v>
      </c>
      <c r="E8" s="2" t="s">
        <v>52</v>
      </c>
    </row>
    <row r="9" spans="1:5" ht="30" customHeight="1" x14ac:dyDescent="0.3">
      <c r="A9" s="2" t="s">
        <v>25</v>
      </c>
      <c r="B9" s="2" t="s">
        <v>53</v>
      </c>
      <c r="C9" s="2" t="s">
        <v>47</v>
      </c>
      <c r="D9" s="2" t="s">
        <v>51</v>
      </c>
      <c r="E9" s="2" t="s">
        <v>54</v>
      </c>
    </row>
    <row r="10" spans="1:5" ht="30" customHeight="1" x14ac:dyDescent="0.3">
      <c r="A10" s="2" t="s">
        <v>26</v>
      </c>
      <c r="B10" s="2" t="s">
        <v>55</v>
      </c>
      <c r="C10" s="2" t="s">
        <v>47</v>
      </c>
      <c r="D10" s="2" t="s">
        <v>56</v>
      </c>
      <c r="E10" s="2" t="s">
        <v>57</v>
      </c>
    </row>
    <row r="11" spans="1:5" ht="30" customHeight="1" x14ac:dyDescent="0.3">
      <c r="A11" s="2" t="s">
        <v>27</v>
      </c>
      <c r="B11" s="2" t="s">
        <v>58</v>
      </c>
      <c r="C11" s="2" t="s">
        <v>47</v>
      </c>
      <c r="D11" s="2" t="s">
        <v>51</v>
      </c>
      <c r="E11" s="2" t="s">
        <v>59</v>
      </c>
    </row>
    <row r="12" spans="1:5" ht="30" customHeight="1" x14ac:dyDescent="0.3">
      <c r="A12" s="2" t="s">
        <v>28</v>
      </c>
      <c r="B12" s="2" t="s">
        <v>60</v>
      </c>
      <c r="C12" s="2" t="s">
        <v>47</v>
      </c>
      <c r="D12" s="2" t="s">
        <v>61</v>
      </c>
      <c r="E12" s="2" t="s">
        <v>62</v>
      </c>
    </row>
    <row r="13" spans="1:5" ht="30" customHeight="1" x14ac:dyDescent="0.3">
      <c r="A13" s="2" t="s">
        <v>29</v>
      </c>
      <c r="B13" s="2" t="s">
        <v>63</v>
      </c>
      <c r="C13" s="2" t="s">
        <v>47</v>
      </c>
      <c r="D13" s="2" t="s">
        <v>61</v>
      </c>
      <c r="E13" s="2" t="s">
        <v>64</v>
      </c>
    </row>
    <row r="14" spans="1:5" ht="30" customHeight="1" x14ac:dyDescent="0.3">
      <c r="A14" s="2" t="s">
        <v>30</v>
      </c>
      <c r="B14" s="2" t="s">
        <v>65</v>
      </c>
      <c r="C14" s="2" t="s">
        <v>66</v>
      </c>
      <c r="D14" s="2" t="s">
        <v>61</v>
      </c>
      <c r="E14" s="2" t="s">
        <v>67</v>
      </c>
    </row>
    <row r="15" spans="1:5" ht="30" customHeight="1" x14ac:dyDescent="0.3">
      <c r="A15" s="2" t="s">
        <v>31</v>
      </c>
      <c r="B15" s="2" t="s">
        <v>68</v>
      </c>
      <c r="C15" s="2" t="s">
        <v>66</v>
      </c>
      <c r="D15" s="2" t="s">
        <v>69</v>
      </c>
      <c r="E15" s="2" t="s">
        <v>70</v>
      </c>
    </row>
    <row r="16" spans="1:5" ht="30" customHeight="1" x14ac:dyDescent="0.3">
      <c r="A16" s="2" t="s">
        <v>32</v>
      </c>
      <c r="B16" s="2" t="s">
        <v>71</v>
      </c>
      <c r="C16" s="2" t="s">
        <v>66</v>
      </c>
      <c r="D16" s="2" t="s">
        <v>72</v>
      </c>
      <c r="E16" s="2" t="s">
        <v>73</v>
      </c>
    </row>
    <row r="17" spans="1:5" ht="30" customHeight="1" x14ac:dyDescent="0.3">
      <c r="A17" s="2" t="s">
        <v>34</v>
      </c>
      <c r="B17" s="2" t="s">
        <v>74</v>
      </c>
      <c r="C17" s="2" t="s">
        <v>66</v>
      </c>
      <c r="D17" s="2" t="s">
        <v>61</v>
      </c>
      <c r="E17" s="2" t="s">
        <v>75</v>
      </c>
    </row>
    <row r="18" spans="1:5" ht="7.95" customHeight="1" x14ac:dyDescent="0.3">
      <c r="A18" t="s">
        <v>1</v>
      </c>
    </row>
    <row r="19" spans="1:5" ht="24" customHeight="1" x14ac:dyDescent="0.3">
      <c r="A19" s="8" t="s">
        <v>76</v>
      </c>
      <c r="B19" s="7"/>
      <c r="C19" s="7"/>
      <c r="D19" s="7"/>
      <c r="E19" s="7"/>
    </row>
    <row r="20" spans="1:5" ht="22.05" customHeight="1" x14ac:dyDescent="0.3">
      <c r="A20" s="1" t="s">
        <v>19</v>
      </c>
      <c r="B20" s="1" t="s">
        <v>38</v>
      </c>
      <c r="C20" s="1" t="s">
        <v>39</v>
      </c>
      <c r="D20" s="1" t="s">
        <v>40</v>
      </c>
      <c r="E20" s="1" t="s">
        <v>41</v>
      </c>
    </row>
    <row r="21" spans="1:5" ht="30" customHeight="1" x14ac:dyDescent="0.3">
      <c r="A21" s="2" t="s">
        <v>21</v>
      </c>
      <c r="B21" s="2" t="s">
        <v>77</v>
      </c>
      <c r="C21" s="2" t="s">
        <v>43</v>
      </c>
      <c r="D21" s="2" t="s">
        <v>78</v>
      </c>
      <c r="E21" s="2" t="s">
        <v>79</v>
      </c>
    </row>
    <row r="22" spans="1:5" ht="30" customHeight="1" x14ac:dyDescent="0.3">
      <c r="A22" s="2" t="s">
        <v>23</v>
      </c>
      <c r="B22" s="2" t="s">
        <v>80</v>
      </c>
      <c r="C22" s="2" t="s">
        <v>47</v>
      </c>
      <c r="D22" s="2" t="s">
        <v>51</v>
      </c>
      <c r="E22" s="2" t="s">
        <v>81</v>
      </c>
    </row>
    <row r="23" spans="1:5" ht="30" customHeight="1" x14ac:dyDescent="0.3">
      <c r="A23" s="2" t="s">
        <v>24</v>
      </c>
      <c r="B23" s="2" t="s">
        <v>82</v>
      </c>
      <c r="C23" s="2" t="s">
        <v>47</v>
      </c>
      <c r="D23" s="2" t="s">
        <v>61</v>
      </c>
      <c r="E23" s="2" t="s">
        <v>83</v>
      </c>
    </row>
    <row r="24" spans="1:5" ht="30" customHeight="1" x14ac:dyDescent="0.3">
      <c r="A24" s="2" t="s">
        <v>25</v>
      </c>
      <c r="B24" s="2" t="s">
        <v>84</v>
      </c>
      <c r="C24" s="2" t="s">
        <v>47</v>
      </c>
      <c r="D24" s="2" t="s">
        <v>61</v>
      </c>
      <c r="E24" s="2" t="s">
        <v>85</v>
      </c>
    </row>
    <row r="25" spans="1:5" ht="30" customHeight="1" x14ac:dyDescent="0.3">
      <c r="A25" s="2" t="s">
        <v>26</v>
      </c>
      <c r="B25" s="2" t="s">
        <v>86</v>
      </c>
      <c r="C25" s="2" t="s">
        <v>66</v>
      </c>
      <c r="D25" s="2" t="s">
        <v>61</v>
      </c>
      <c r="E25" s="2" t="s">
        <v>87</v>
      </c>
    </row>
    <row r="26" spans="1:5" ht="7.95" customHeight="1" x14ac:dyDescent="0.3">
      <c r="A26" t="s">
        <v>1</v>
      </c>
    </row>
    <row r="27" spans="1:5" ht="24" customHeight="1" x14ac:dyDescent="0.3">
      <c r="A27" s="8" t="s">
        <v>88</v>
      </c>
      <c r="B27" s="7"/>
      <c r="C27" s="7"/>
      <c r="D27" s="7"/>
      <c r="E27" s="7"/>
    </row>
    <row r="28" spans="1:5" ht="22.05" customHeight="1" x14ac:dyDescent="0.3">
      <c r="A28" s="1" t="s">
        <v>19</v>
      </c>
      <c r="B28" s="1" t="s">
        <v>38</v>
      </c>
      <c r="C28" s="1" t="s">
        <v>39</v>
      </c>
      <c r="D28" s="1" t="s">
        <v>40</v>
      </c>
      <c r="E28" s="1" t="s">
        <v>41</v>
      </c>
    </row>
    <row r="29" spans="1:5" ht="30" customHeight="1" x14ac:dyDescent="0.3">
      <c r="A29" s="2" t="s">
        <v>21</v>
      </c>
      <c r="B29" s="2" t="s">
        <v>77</v>
      </c>
      <c r="C29" s="2" t="s">
        <v>43</v>
      </c>
      <c r="D29" s="2" t="s">
        <v>78</v>
      </c>
      <c r="E29" s="2" t="s">
        <v>89</v>
      </c>
    </row>
    <row r="30" spans="1:5" ht="30" customHeight="1" x14ac:dyDescent="0.3">
      <c r="A30" s="2" t="s">
        <v>23</v>
      </c>
      <c r="B30" s="2" t="s">
        <v>80</v>
      </c>
      <c r="C30" s="2" t="s">
        <v>47</v>
      </c>
      <c r="D30" s="2" t="s">
        <v>51</v>
      </c>
      <c r="E30" s="2" t="s">
        <v>81</v>
      </c>
    </row>
    <row r="31" spans="1:5" ht="30" customHeight="1" x14ac:dyDescent="0.3">
      <c r="A31" s="2" t="s">
        <v>24</v>
      </c>
      <c r="B31" s="2" t="s">
        <v>90</v>
      </c>
      <c r="C31" s="2" t="s">
        <v>47</v>
      </c>
      <c r="D31" s="2" t="s">
        <v>51</v>
      </c>
      <c r="E31" s="2" t="s">
        <v>91</v>
      </c>
    </row>
    <row r="32" spans="1:5" ht="30" customHeight="1" x14ac:dyDescent="0.3">
      <c r="A32" s="2" t="s">
        <v>25</v>
      </c>
      <c r="B32" s="2" t="s">
        <v>82</v>
      </c>
      <c r="C32" s="2" t="s">
        <v>47</v>
      </c>
      <c r="D32" s="2" t="s">
        <v>61</v>
      </c>
      <c r="E32" s="2" t="s">
        <v>83</v>
      </c>
    </row>
    <row r="33" spans="1:5" ht="30" customHeight="1" x14ac:dyDescent="0.3">
      <c r="A33" s="2" t="s">
        <v>26</v>
      </c>
      <c r="B33" s="2" t="s">
        <v>84</v>
      </c>
      <c r="C33" s="2" t="s">
        <v>47</v>
      </c>
      <c r="D33" s="2" t="s">
        <v>61</v>
      </c>
      <c r="E33" s="2" t="s">
        <v>85</v>
      </c>
    </row>
    <row r="34" spans="1:5" ht="7.95" customHeight="1" x14ac:dyDescent="0.3">
      <c r="A34" t="s">
        <v>1</v>
      </c>
    </row>
    <row r="35" spans="1:5" ht="24" customHeight="1" x14ac:dyDescent="0.3">
      <c r="A35" s="8" t="s">
        <v>92</v>
      </c>
      <c r="B35" s="7"/>
      <c r="C35" s="7"/>
      <c r="D35" s="7"/>
      <c r="E35" s="7"/>
    </row>
    <row r="36" spans="1:5" ht="22.05" customHeight="1" x14ac:dyDescent="0.3">
      <c r="A36" s="1" t="s">
        <v>19</v>
      </c>
      <c r="B36" s="1" t="s">
        <v>38</v>
      </c>
      <c r="C36" s="1" t="s">
        <v>39</v>
      </c>
      <c r="D36" s="1" t="s">
        <v>40</v>
      </c>
      <c r="E36" s="1" t="s">
        <v>41</v>
      </c>
    </row>
    <row r="37" spans="1:5" ht="30" customHeight="1" x14ac:dyDescent="0.3">
      <c r="A37" s="2" t="s">
        <v>21</v>
      </c>
      <c r="B37" s="2" t="s">
        <v>77</v>
      </c>
      <c r="C37" s="2" t="s">
        <v>43</v>
      </c>
      <c r="D37" s="2" t="s">
        <v>78</v>
      </c>
      <c r="E37" s="2" t="s">
        <v>93</v>
      </c>
    </row>
    <row r="38" spans="1:5" ht="30" customHeight="1" x14ac:dyDescent="0.3">
      <c r="A38" s="2" t="s">
        <v>23</v>
      </c>
      <c r="B38" s="2" t="s">
        <v>80</v>
      </c>
      <c r="C38" s="2" t="s">
        <v>47</v>
      </c>
      <c r="D38" s="2" t="s">
        <v>51</v>
      </c>
      <c r="E38" s="2" t="s">
        <v>81</v>
      </c>
    </row>
    <row r="39" spans="1:5" ht="30" customHeight="1" x14ac:dyDescent="0.3">
      <c r="A39" s="2" t="s">
        <v>24</v>
      </c>
      <c r="B39" s="2" t="s">
        <v>82</v>
      </c>
      <c r="C39" s="2" t="s">
        <v>47</v>
      </c>
      <c r="D39" s="2" t="s">
        <v>61</v>
      </c>
      <c r="E39" s="2" t="s">
        <v>83</v>
      </c>
    </row>
    <row r="40" spans="1:5" ht="30" customHeight="1" x14ac:dyDescent="0.3">
      <c r="A40" s="2" t="s">
        <v>25</v>
      </c>
      <c r="B40" s="2" t="s">
        <v>84</v>
      </c>
      <c r="C40" s="2" t="s">
        <v>47</v>
      </c>
      <c r="D40" s="2" t="s">
        <v>61</v>
      </c>
      <c r="E40" s="2" t="s">
        <v>85</v>
      </c>
    </row>
    <row r="41" spans="1:5" ht="7.95" customHeight="1" x14ac:dyDescent="0.3">
      <c r="A41" t="s">
        <v>1</v>
      </c>
    </row>
    <row r="42" spans="1:5" ht="24" customHeight="1" x14ac:dyDescent="0.3">
      <c r="A42" s="8" t="s">
        <v>94</v>
      </c>
      <c r="B42" s="7"/>
      <c r="C42" s="7"/>
      <c r="D42" s="7"/>
      <c r="E42" s="7"/>
    </row>
    <row r="43" spans="1:5" ht="22.05" customHeight="1" x14ac:dyDescent="0.3">
      <c r="A43" s="1" t="s">
        <v>19</v>
      </c>
      <c r="B43" s="1" t="s">
        <v>38</v>
      </c>
      <c r="C43" s="1" t="s">
        <v>39</v>
      </c>
      <c r="D43" s="1" t="s">
        <v>40</v>
      </c>
      <c r="E43" s="1" t="s">
        <v>41</v>
      </c>
    </row>
    <row r="44" spans="1:5" ht="30" customHeight="1" x14ac:dyDescent="0.3">
      <c r="A44" s="2" t="s">
        <v>21</v>
      </c>
      <c r="B44" s="2" t="s">
        <v>77</v>
      </c>
      <c r="C44" s="2" t="s">
        <v>43</v>
      </c>
      <c r="D44" s="2" t="s">
        <v>78</v>
      </c>
      <c r="E44" s="2" t="s">
        <v>95</v>
      </c>
    </row>
    <row r="45" spans="1:5" ht="30" customHeight="1" x14ac:dyDescent="0.3">
      <c r="A45" s="2" t="s">
        <v>23</v>
      </c>
      <c r="B45" s="2" t="s">
        <v>80</v>
      </c>
      <c r="C45" s="2" t="s">
        <v>47</v>
      </c>
      <c r="D45" s="2" t="s">
        <v>51</v>
      </c>
      <c r="E45" s="2" t="s">
        <v>96</v>
      </c>
    </row>
    <row r="46" spans="1:5" ht="30" customHeight="1" x14ac:dyDescent="0.3">
      <c r="A46" s="2" t="s">
        <v>24</v>
      </c>
      <c r="B46" s="2" t="s">
        <v>90</v>
      </c>
      <c r="C46" s="2" t="s">
        <v>47</v>
      </c>
      <c r="D46" s="2" t="s">
        <v>51</v>
      </c>
      <c r="E46" s="2" t="s">
        <v>97</v>
      </c>
    </row>
    <row r="47" spans="1:5" ht="30" customHeight="1" x14ac:dyDescent="0.3">
      <c r="A47" s="2" t="s">
        <v>25</v>
      </c>
      <c r="B47" s="2" t="s">
        <v>82</v>
      </c>
      <c r="C47" s="2" t="s">
        <v>47</v>
      </c>
      <c r="D47" s="2" t="s">
        <v>61</v>
      </c>
      <c r="E47" s="2" t="s">
        <v>83</v>
      </c>
    </row>
    <row r="48" spans="1:5" ht="30" customHeight="1" x14ac:dyDescent="0.3">
      <c r="A48" s="2" t="s">
        <v>26</v>
      </c>
      <c r="B48" s="2" t="s">
        <v>98</v>
      </c>
      <c r="C48" s="2" t="s">
        <v>47</v>
      </c>
      <c r="D48" s="2" t="s">
        <v>51</v>
      </c>
      <c r="E48" s="2" t="s">
        <v>99</v>
      </c>
    </row>
    <row r="49" spans="1:1" ht="7.95" customHeight="1" x14ac:dyDescent="0.3">
      <c r="A49" t="s">
        <v>1</v>
      </c>
    </row>
  </sheetData>
  <mergeCells count="7">
    <mergeCell ref="A35:E35"/>
    <mergeCell ref="A42:E42"/>
    <mergeCell ref="A1:E1"/>
    <mergeCell ref="A2:E2"/>
    <mergeCell ref="A4:E4"/>
    <mergeCell ref="A19:E19"/>
    <mergeCell ref="A27:E27"/>
  </mergeCells>
  <pageMargins left="0.25" right="0.25" top="0.5" bottom="0.5" header="0.3" footer="0.3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1"/>
  <sheetViews>
    <sheetView tabSelected="1" workbookViewId="0">
      <pane ySplit="1" topLeftCell="A42" activePane="bottomLeft" state="frozen"/>
      <selection pane="bottomLeft" sqref="A1:E1"/>
    </sheetView>
  </sheetViews>
  <sheetFormatPr defaultRowHeight="14.4" x14ac:dyDescent="0.3"/>
  <cols>
    <col min="1" max="1" width="8" customWidth="1"/>
    <col min="2" max="2" width="32" customWidth="1"/>
    <col min="3" max="3" width="20" customWidth="1"/>
    <col min="4" max="4" width="44" customWidth="1"/>
    <col min="5" max="5" width="64" customWidth="1"/>
  </cols>
  <sheetData>
    <row r="1" spans="1:5" ht="28.05" customHeight="1" x14ac:dyDescent="0.3">
      <c r="A1" s="6" t="s">
        <v>0</v>
      </c>
      <c r="B1" s="7"/>
      <c r="C1" s="7"/>
      <c r="D1" s="7"/>
      <c r="E1" s="7"/>
    </row>
    <row r="2" spans="1:5" ht="22.05" customHeight="1" x14ac:dyDescent="0.3">
      <c r="A2" s="8" t="s">
        <v>100</v>
      </c>
      <c r="B2" s="7"/>
      <c r="C2" s="7"/>
      <c r="D2" s="7"/>
      <c r="E2" s="7"/>
    </row>
    <row r="3" spans="1:5" ht="7.95" customHeight="1" x14ac:dyDescent="0.3">
      <c r="A3" t="s">
        <v>1</v>
      </c>
    </row>
    <row r="4" spans="1:5" ht="24" customHeight="1" x14ac:dyDescent="0.3">
      <c r="A4" s="8" t="s">
        <v>101</v>
      </c>
      <c r="B4" s="7"/>
      <c r="C4" s="7"/>
      <c r="D4" s="7"/>
      <c r="E4" s="7"/>
    </row>
    <row r="5" spans="1:5" ht="22.05" customHeight="1" x14ac:dyDescent="0.3">
      <c r="A5" s="1" t="s">
        <v>19</v>
      </c>
      <c r="B5" s="1" t="s">
        <v>38</v>
      </c>
      <c r="C5" s="1" t="s">
        <v>39</v>
      </c>
      <c r="D5" s="1" t="s">
        <v>40</v>
      </c>
      <c r="E5" s="1" t="s">
        <v>41</v>
      </c>
    </row>
    <row r="6" spans="1:5" ht="30" customHeight="1" x14ac:dyDescent="0.3">
      <c r="A6" s="2" t="s">
        <v>21</v>
      </c>
      <c r="B6" s="2" t="s">
        <v>42</v>
      </c>
      <c r="C6" s="2" t="s">
        <v>43</v>
      </c>
      <c r="D6" s="2" t="s">
        <v>44</v>
      </c>
      <c r="E6" s="2" t="s">
        <v>102</v>
      </c>
    </row>
    <row r="7" spans="1:5" ht="30" customHeight="1" x14ac:dyDescent="0.3">
      <c r="A7" s="2" t="s">
        <v>23</v>
      </c>
      <c r="B7" s="2" t="s">
        <v>103</v>
      </c>
      <c r="C7" s="2" t="s">
        <v>47</v>
      </c>
      <c r="D7" s="2" t="s">
        <v>51</v>
      </c>
      <c r="E7" s="2" t="s">
        <v>104</v>
      </c>
    </row>
    <row r="8" spans="1:5" ht="30" customHeight="1" x14ac:dyDescent="0.3">
      <c r="A8" s="2" t="s">
        <v>24</v>
      </c>
      <c r="B8" s="2" t="s">
        <v>105</v>
      </c>
      <c r="C8" s="2" t="s">
        <v>47</v>
      </c>
      <c r="D8" s="2" t="s">
        <v>48</v>
      </c>
      <c r="E8" s="2" t="s">
        <v>106</v>
      </c>
    </row>
    <row r="9" spans="1:5" ht="30" customHeight="1" x14ac:dyDescent="0.3">
      <c r="A9" s="2" t="s">
        <v>25</v>
      </c>
      <c r="B9" s="2" t="s">
        <v>107</v>
      </c>
      <c r="C9" s="2" t="s">
        <v>47</v>
      </c>
      <c r="D9" s="2" t="s">
        <v>61</v>
      </c>
      <c r="E9" s="2" t="s">
        <v>108</v>
      </c>
    </row>
    <row r="10" spans="1:5" ht="30" customHeight="1" x14ac:dyDescent="0.3">
      <c r="A10" s="2" t="s">
        <v>26</v>
      </c>
      <c r="B10" s="2" t="s">
        <v>109</v>
      </c>
      <c r="C10" s="2" t="s">
        <v>110</v>
      </c>
      <c r="D10" s="2" t="s">
        <v>111</v>
      </c>
      <c r="E10" s="2" t="s">
        <v>112</v>
      </c>
    </row>
    <row r="11" spans="1:5" ht="30" customHeight="1" x14ac:dyDescent="0.3">
      <c r="A11" s="2" t="s">
        <v>27</v>
      </c>
      <c r="B11" s="2" t="s">
        <v>113</v>
      </c>
      <c r="C11" s="2" t="s">
        <v>114</v>
      </c>
      <c r="D11" s="2" t="s">
        <v>115</v>
      </c>
      <c r="E11" s="2" t="s">
        <v>116</v>
      </c>
    </row>
    <row r="12" spans="1:5" ht="7.95" customHeight="1" x14ac:dyDescent="0.3">
      <c r="A12" t="s">
        <v>1</v>
      </c>
    </row>
    <row r="13" spans="1:5" ht="24" customHeight="1" x14ac:dyDescent="0.3">
      <c r="A13" s="8" t="s">
        <v>117</v>
      </c>
      <c r="B13" s="7"/>
      <c r="C13" s="7"/>
      <c r="D13" s="7"/>
      <c r="E13" s="7"/>
    </row>
    <row r="14" spans="1:5" ht="22.05" customHeight="1" x14ac:dyDescent="0.3">
      <c r="A14" s="1" t="s">
        <v>19</v>
      </c>
      <c r="B14" s="1" t="s">
        <v>38</v>
      </c>
      <c r="C14" s="1" t="s">
        <v>39</v>
      </c>
      <c r="D14" s="1" t="s">
        <v>40</v>
      </c>
      <c r="E14" s="1" t="s">
        <v>41</v>
      </c>
    </row>
    <row r="15" spans="1:5" ht="30" customHeight="1" x14ac:dyDescent="0.3">
      <c r="A15" s="2" t="s">
        <v>21</v>
      </c>
      <c r="B15" s="2" t="s">
        <v>42</v>
      </c>
      <c r="C15" s="2" t="s">
        <v>43</v>
      </c>
      <c r="D15" s="2" t="s">
        <v>44</v>
      </c>
      <c r="E15" s="2" t="s">
        <v>118</v>
      </c>
    </row>
    <row r="16" spans="1:5" ht="30" customHeight="1" x14ac:dyDescent="0.3">
      <c r="A16" s="2" t="s">
        <v>23</v>
      </c>
      <c r="B16" s="2" t="s">
        <v>119</v>
      </c>
      <c r="C16" s="2" t="s">
        <v>43</v>
      </c>
      <c r="D16" s="2" t="s">
        <v>120</v>
      </c>
      <c r="E16" s="2" t="s">
        <v>121</v>
      </c>
    </row>
    <row r="17" spans="1:5" ht="30" customHeight="1" x14ac:dyDescent="0.3">
      <c r="A17" s="2" t="s">
        <v>24</v>
      </c>
      <c r="B17" s="2" t="s">
        <v>122</v>
      </c>
      <c r="C17" s="2" t="s">
        <v>47</v>
      </c>
      <c r="D17" s="2" t="s">
        <v>51</v>
      </c>
      <c r="E17" s="2" t="s">
        <v>123</v>
      </c>
    </row>
    <row r="18" spans="1:5" ht="30" customHeight="1" x14ac:dyDescent="0.3">
      <c r="A18" s="2" t="s">
        <v>25</v>
      </c>
      <c r="B18" s="2" t="s">
        <v>105</v>
      </c>
      <c r="C18" s="2" t="s">
        <v>47</v>
      </c>
      <c r="D18" s="2" t="s">
        <v>48</v>
      </c>
      <c r="E18" s="2" t="s">
        <v>124</v>
      </c>
    </row>
    <row r="19" spans="1:5" ht="30" customHeight="1" x14ac:dyDescent="0.3">
      <c r="A19" s="2" t="s">
        <v>26</v>
      </c>
      <c r="B19" s="2" t="s">
        <v>125</v>
      </c>
      <c r="C19" s="2" t="s">
        <v>47</v>
      </c>
      <c r="D19" s="2" t="s">
        <v>51</v>
      </c>
      <c r="E19" s="2" t="s">
        <v>126</v>
      </c>
    </row>
    <row r="20" spans="1:5" ht="30" customHeight="1" x14ac:dyDescent="0.3">
      <c r="A20" s="2" t="s">
        <v>27</v>
      </c>
      <c r="B20" s="2" t="s">
        <v>107</v>
      </c>
      <c r="C20" s="2" t="s">
        <v>47</v>
      </c>
      <c r="D20" s="2" t="s">
        <v>51</v>
      </c>
      <c r="E20" s="2" t="s">
        <v>127</v>
      </c>
    </row>
    <row r="21" spans="1:5" ht="30" customHeight="1" x14ac:dyDescent="0.3">
      <c r="A21" s="2" t="s">
        <v>28</v>
      </c>
      <c r="B21" s="2" t="s">
        <v>128</v>
      </c>
      <c r="C21" s="2" t="s">
        <v>129</v>
      </c>
      <c r="D21" s="2" t="s">
        <v>61</v>
      </c>
      <c r="E21" s="2" t="s">
        <v>130</v>
      </c>
    </row>
    <row r="22" spans="1:5" ht="30" customHeight="1" x14ac:dyDescent="0.3">
      <c r="A22" s="2" t="s">
        <v>29</v>
      </c>
      <c r="B22" s="2" t="s">
        <v>131</v>
      </c>
      <c r="C22" s="2" t="s">
        <v>129</v>
      </c>
      <c r="D22" s="2" t="s">
        <v>61</v>
      </c>
      <c r="E22" s="2" t="s">
        <v>132</v>
      </c>
    </row>
    <row r="23" spans="1:5" ht="30" customHeight="1" x14ac:dyDescent="0.3">
      <c r="A23" s="2" t="s">
        <v>30</v>
      </c>
      <c r="B23" s="2" t="s">
        <v>133</v>
      </c>
      <c r="C23" s="2" t="s">
        <v>110</v>
      </c>
      <c r="D23" s="2" t="s">
        <v>61</v>
      </c>
      <c r="E23" s="2" t="s">
        <v>134</v>
      </c>
    </row>
    <row r="24" spans="1:5" ht="30" customHeight="1" x14ac:dyDescent="0.3">
      <c r="A24" s="2" t="s">
        <v>31</v>
      </c>
      <c r="B24" s="2" t="s">
        <v>135</v>
      </c>
      <c r="C24" s="2" t="s">
        <v>110</v>
      </c>
      <c r="D24" s="2" t="s">
        <v>61</v>
      </c>
      <c r="E24" s="2" t="s">
        <v>136</v>
      </c>
    </row>
    <row r="25" spans="1:5" ht="30" customHeight="1" x14ac:dyDescent="0.3">
      <c r="A25" s="2" t="s">
        <v>32</v>
      </c>
      <c r="B25" s="2" t="s">
        <v>137</v>
      </c>
      <c r="C25" s="2" t="s">
        <v>47</v>
      </c>
      <c r="D25" s="2" t="s">
        <v>61</v>
      </c>
      <c r="E25" s="2" t="s">
        <v>138</v>
      </c>
    </row>
    <row r="26" spans="1:5" ht="30" customHeight="1" x14ac:dyDescent="0.3">
      <c r="A26" s="2" t="s">
        <v>34</v>
      </c>
      <c r="B26" s="2" t="s">
        <v>139</v>
      </c>
      <c r="C26" s="2" t="s">
        <v>47</v>
      </c>
      <c r="D26" s="2" t="s">
        <v>61</v>
      </c>
      <c r="E26" s="2" t="s">
        <v>140</v>
      </c>
    </row>
    <row r="27" spans="1:5" ht="30" customHeight="1" x14ac:dyDescent="0.3">
      <c r="A27" s="2" t="s">
        <v>141</v>
      </c>
      <c r="B27" s="2" t="s">
        <v>142</v>
      </c>
      <c r="C27" s="2" t="s">
        <v>114</v>
      </c>
      <c r="D27" s="2" t="s">
        <v>143</v>
      </c>
      <c r="E27" s="2" t="s">
        <v>144</v>
      </c>
    </row>
    <row r="28" spans="1:5" ht="30" customHeight="1" x14ac:dyDescent="0.3">
      <c r="A28" s="2" t="s">
        <v>145</v>
      </c>
      <c r="B28" s="2" t="s">
        <v>113</v>
      </c>
      <c r="C28" s="2" t="s">
        <v>114</v>
      </c>
      <c r="D28" s="2" t="s">
        <v>115</v>
      </c>
      <c r="E28" s="2" t="s">
        <v>116</v>
      </c>
    </row>
    <row r="29" spans="1:5" ht="7.95" customHeight="1" x14ac:dyDescent="0.3">
      <c r="A29" t="s">
        <v>1</v>
      </c>
    </row>
    <row r="30" spans="1:5" ht="24" customHeight="1" x14ac:dyDescent="0.3">
      <c r="A30" s="8" t="s">
        <v>146</v>
      </c>
      <c r="B30" s="7"/>
      <c r="C30" s="7"/>
      <c r="D30" s="7"/>
      <c r="E30" s="7"/>
    </row>
    <row r="31" spans="1:5" ht="22.05" customHeight="1" x14ac:dyDescent="0.3">
      <c r="A31" s="1" t="s">
        <v>19</v>
      </c>
      <c r="B31" s="1" t="s">
        <v>38</v>
      </c>
      <c r="C31" s="1" t="s">
        <v>39</v>
      </c>
      <c r="D31" s="1" t="s">
        <v>40</v>
      </c>
      <c r="E31" s="1" t="s">
        <v>41</v>
      </c>
    </row>
    <row r="32" spans="1:5" ht="30" customHeight="1" x14ac:dyDescent="0.3">
      <c r="A32" s="2" t="s">
        <v>21</v>
      </c>
      <c r="B32" s="2" t="s">
        <v>42</v>
      </c>
      <c r="C32" s="2" t="s">
        <v>43</v>
      </c>
      <c r="D32" s="2" t="s">
        <v>44</v>
      </c>
      <c r="E32" s="2" t="s">
        <v>147</v>
      </c>
    </row>
    <row r="33" spans="1:5" ht="30" customHeight="1" x14ac:dyDescent="0.3">
      <c r="A33" s="2" t="s">
        <v>23</v>
      </c>
      <c r="B33" s="2" t="s">
        <v>122</v>
      </c>
      <c r="C33" s="2" t="s">
        <v>47</v>
      </c>
      <c r="D33" s="2" t="s">
        <v>51</v>
      </c>
      <c r="E33" s="2" t="s">
        <v>148</v>
      </c>
    </row>
    <row r="34" spans="1:5" ht="30" customHeight="1" x14ac:dyDescent="0.3">
      <c r="A34" s="2" t="s">
        <v>24</v>
      </c>
      <c r="B34" s="2" t="s">
        <v>105</v>
      </c>
      <c r="C34" s="2" t="s">
        <v>47</v>
      </c>
      <c r="D34" s="2" t="s">
        <v>48</v>
      </c>
      <c r="E34" s="2" t="s">
        <v>149</v>
      </c>
    </row>
    <row r="35" spans="1:5" ht="30" customHeight="1" x14ac:dyDescent="0.3">
      <c r="A35" s="2" t="s">
        <v>25</v>
      </c>
      <c r="B35" s="2" t="s">
        <v>150</v>
      </c>
      <c r="C35" s="2" t="s">
        <v>47</v>
      </c>
      <c r="D35" s="2" t="s">
        <v>51</v>
      </c>
      <c r="E35" s="2" t="s">
        <v>151</v>
      </c>
    </row>
    <row r="36" spans="1:5" ht="30" customHeight="1" x14ac:dyDescent="0.3">
      <c r="A36" s="2" t="s">
        <v>26</v>
      </c>
      <c r="B36" s="2" t="s">
        <v>152</v>
      </c>
      <c r="C36" s="2" t="s">
        <v>110</v>
      </c>
      <c r="D36" s="2" t="s">
        <v>61</v>
      </c>
      <c r="E36" s="2" t="s">
        <v>153</v>
      </c>
    </row>
    <row r="37" spans="1:5" ht="30" customHeight="1" x14ac:dyDescent="0.3">
      <c r="A37" s="2" t="s">
        <v>27</v>
      </c>
      <c r="B37" s="2" t="s">
        <v>139</v>
      </c>
      <c r="C37" s="2" t="s">
        <v>47</v>
      </c>
      <c r="D37" s="2" t="s">
        <v>51</v>
      </c>
      <c r="E37" s="2" t="s">
        <v>154</v>
      </c>
    </row>
    <row r="38" spans="1:5" ht="30" customHeight="1" x14ac:dyDescent="0.3">
      <c r="A38" s="2" t="s">
        <v>28</v>
      </c>
      <c r="B38" s="2" t="s">
        <v>55</v>
      </c>
      <c r="C38" s="2" t="s">
        <v>47</v>
      </c>
      <c r="D38" s="2" t="s">
        <v>155</v>
      </c>
      <c r="E38" s="2" t="s">
        <v>156</v>
      </c>
    </row>
    <row r="39" spans="1:5" ht="30" customHeight="1" x14ac:dyDescent="0.3">
      <c r="A39" s="2" t="s">
        <v>29</v>
      </c>
      <c r="B39" s="2" t="s">
        <v>157</v>
      </c>
      <c r="C39" s="2" t="s">
        <v>110</v>
      </c>
      <c r="D39" s="2" t="s">
        <v>111</v>
      </c>
      <c r="E39" s="2" t="s">
        <v>158</v>
      </c>
    </row>
    <row r="40" spans="1:5" ht="30" customHeight="1" x14ac:dyDescent="0.3">
      <c r="A40" s="2" t="s">
        <v>30</v>
      </c>
      <c r="B40" s="2" t="s">
        <v>159</v>
      </c>
      <c r="C40" s="2" t="s">
        <v>43</v>
      </c>
      <c r="D40" s="2" t="s">
        <v>160</v>
      </c>
      <c r="E40" s="2" t="s">
        <v>161</v>
      </c>
    </row>
    <row r="41" spans="1:5" ht="30" customHeight="1" x14ac:dyDescent="0.3">
      <c r="A41" s="2" t="s">
        <v>31</v>
      </c>
      <c r="B41" s="2" t="s">
        <v>162</v>
      </c>
      <c r="C41" s="2" t="s">
        <v>66</v>
      </c>
      <c r="D41" s="2" t="s">
        <v>61</v>
      </c>
      <c r="E41" s="2" t="s">
        <v>163</v>
      </c>
    </row>
    <row r="42" spans="1:5" ht="30" customHeight="1" x14ac:dyDescent="0.3">
      <c r="A42" s="2" t="s">
        <v>32</v>
      </c>
      <c r="B42" s="2" t="s">
        <v>68</v>
      </c>
      <c r="C42" s="2" t="s">
        <v>66</v>
      </c>
      <c r="D42" s="2" t="s">
        <v>69</v>
      </c>
      <c r="E42" s="2" t="s">
        <v>70</v>
      </c>
    </row>
    <row r="43" spans="1:5" ht="30" customHeight="1" x14ac:dyDescent="0.3">
      <c r="A43" s="2" t="s">
        <v>34</v>
      </c>
      <c r="B43" s="2" t="s">
        <v>71</v>
      </c>
      <c r="C43" s="2" t="s">
        <v>66</v>
      </c>
      <c r="D43" s="2" t="s">
        <v>72</v>
      </c>
      <c r="E43" s="2" t="s">
        <v>73</v>
      </c>
    </row>
    <row r="44" spans="1:5" ht="7.95" customHeight="1" x14ac:dyDescent="0.3">
      <c r="A44" t="s">
        <v>1</v>
      </c>
    </row>
    <row r="45" spans="1:5" ht="24" customHeight="1" x14ac:dyDescent="0.3">
      <c r="A45" s="8" t="s">
        <v>164</v>
      </c>
      <c r="B45" s="7"/>
      <c r="C45" s="7"/>
      <c r="D45" s="7"/>
      <c r="E45" s="7"/>
    </row>
    <row r="46" spans="1:5" ht="22.05" customHeight="1" x14ac:dyDescent="0.3">
      <c r="A46" s="1" t="s">
        <v>19</v>
      </c>
      <c r="B46" s="1" t="s">
        <v>38</v>
      </c>
      <c r="C46" s="1" t="s">
        <v>39</v>
      </c>
      <c r="D46" s="1" t="s">
        <v>40</v>
      </c>
      <c r="E46" s="1" t="s">
        <v>41</v>
      </c>
    </row>
    <row r="47" spans="1:5" ht="30" customHeight="1" x14ac:dyDescent="0.3">
      <c r="A47" s="2" t="s">
        <v>21</v>
      </c>
      <c r="B47" s="2" t="s">
        <v>42</v>
      </c>
      <c r="C47" s="2" t="s">
        <v>43</v>
      </c>
      <c r="D47" s="2" t="s">
        <v>44</v>
      </c>
      <c r="E47" s="2" t="s">
        <v>165</v>
      </c>
    </row>
    <row r="48" spans="1:5" ht="30" customHeight="1" x14ac:dyDescent="0.3">
      <c r="A48" s="2" t="s">
        <v>23</v>
      </c>
      <c r="B48" s="2" t="s">
        <v>122</v>
      </c>
      <c r="C48" s="2" t="s">
        <v>47</v>
      </c>
      <c r="D48" s="2" t="s">
        <v>51</v>
      </c>
      <c r="E48" s="2" t="s">
        <v>166</v>
      </c>
    </row>
    <row r="49" spans="1:5" ht="30" customHeight="1" x14ac:dyDescent="0.3">
      <c r="A49" s="2" t="s">
        <v>24</v>
      </c>
      <c r="B49" s="2" t="s">
        <v>105</v>
      </c>
      <c r="C49" s="2" t="s">
        <v>47</v>
      </c>
      <c r="D49" s="2" t="s">
        <v>48</v>
      </c>
      <c r="E49" s="2" t="s">
        <v>167</v>
      </c>
    </row>
    <row r="50" spans="1:5" ht="30" customHeight="1" x14ac:dyDescent="0.3">
      <c r="A50" s="2" t="s">
        <v>25</v>
      </c>
      <c r="B50" s="2" t="s">
        <v>150</v>
      </c>
      <c r="C50" s="2" t="s">
        <v>47</v>
      </c>
      <c r="D50" s="2" t="s">
        <v>51</v>
      </c>
      <c r="E50" s="2" t="s">
        <v>168</v>
      </c>
    </row>
    <row r="51" spans="1:5" ht="30" customHeight="1" x14ac:dyDescent="0.3">
      <c r="A51" s="2" t="s">
        <v>26</v>
      </c>
      <c r="B51" s="2" t="s">
        <v>169</v>
      </c>
      <c r="C51" s="2" t="s">
        <v>47</v>
      </c>
      <c r="D51" s="2" t="s">
        <v>61</v>
      </c>
      <c r="E51" s="2" t="s">
        <v>170</v>
      </c>
    </row>
    <row r="52" spans="1:5" ht="30" customHeight="1" x14ac:dyDescent="0.3">
      <c r="A52" s="2" t="s">
        <v>27</v>
      </c>
      <c r="B52" s="2" t="s">
        <v>171</v>
      </c>
      <c r="C52" s="2" t="s">
        <v>47</v>
      </c>
      <c r="D52" s="2" t="s">
        <v>61</v>
      </c>
      <c r="E52" s="2" t="s">
        <v>172</v>
      </c>
    </row>
    <row r="53" spans="1:5" ht="30" customHeight="1" x14ac:dyDescent="0.3">
      <c r="A53" s="2" t="s">
        <v>28</v>
      </c>
      <c r="B53" s="2" t="s">
        <v>139</v>
      </c>
      <c r="C53" s="2" t="s">
        <v>47</v>
      </c>
      <c r="D53" s="2" t="s">
        <v>61</v>
      </c>
      <c r="E53" s="2" t="s">
        <v>154</v>
      </c>
    </row>
    <row r="54" spans="1:5" ht="30" customHeight="1" x14ac:dyDescent="0.3">
      <c r="A54" s="2" t="s">
        <v>29</v>
      </c>
      <c r="B54" s="2" t="s">
        <v>55</v>
      </c>
      <c r="C54" s="2" t="s">
        <v>47</v>
      </c>
      <c r="D54" s="2" t="s">
        <v>173</v>
      </c>
      <c r="E54" s="2" t="s">
        <v>174</v>
      </c>
    </row>
    <row r="55" spans="1:5" ht="30" customHeight="1" x14ac:dyDescent="0.3">
      <c r="A55" s="2" t="s">
        <v>30</v>
      </c>
      <c r="B55" s="2" t="s">
        <v>157</v>
      </c>
      <c r="C55" s="2" t="s">
        <v>110</v>
      </c>
      <c r="D55" s="2" t="s">
        <v>111</v>
      </c>
      <c r="E55" s="2" t="s">
        <v>158</v>
      </c>
    </row>
    <row r="56" spans="1:5" ht="30" customHeight="1" x14ac:dyDescent="0.3">
      <c r="A56" s="2" t="s">
        <v>31</v>
      </c>
      <c r="B56" s="2" t="s">
        <v>162</v>
      </c>
      <c r="C56" s="2" t="s">
        <v>66</v>
      </c>
      <c r="D56" s="2" t="s">
        <v>61</v>
      </c>
      <c r="E56" s="2" t="s">
        <v>163</v>
      </c>
    </row>
    <row r="57" spans="1:5" ht="30" customHeight="1" x14ac:dyDescent="0.3">
      <c r="A57" s="2" t="s">
        <v>32</v>
      </c>
      <c r="B57" s="2" t="s">
        <v>175</v>
      </c>
      <c r="C57" s="2" t="s">
        <v>43</v>
      </c>
      <c r="D57" s="2" t="s">
        <v>176</v>
      </c>
      <c r="E57" s="2" t="s">
        <v>177</v>
      </c>
    </row>
    <row r="58" spans="1:5" ht="30" customHeight="1" x14ac:dyDescent="0.3">
      <c r="A58" s="2" t="s">
        <v>34</v>
      </c>
      <c r="B58" s="2" t="s">
        <v>178</v>
      </c>
      <c r="C58" s="2" t="s">
        <v>43</v>
      </c>
      <c r="D58" s="2" t="s">
        <v>179</v>
      </c>
      <c r="E58" s="2" t="s">
        <v>180</v>
      </c>
    </row>
    <row r="59" spans="1:5" ht="30" customHeight="1" x14ac:dyDescent="0.3">
      <c r="A59" s="2" t="s">
        <v>141</v>
      </c>
      <c r="B59" s="2" t="s">
        <v>68</v>
      </c>
      <c r="C59" s="2" t="s">
        <v>66</v>
      </c>
      <c r="D59" s="2" t="s">
        <v>69</v>
      </c>
      <c r="E59" s="2" t="s">
        <v>70</v>
      </c>
    </row>
    <row r="60" spans="1:5" ht="30" customHeight="1" x14ac:dyDescent="0.3">
      <c r="A60" s="2" t="s">
        <v>145</v>
      </c>
      <c r="B60" s="2" t="s">
        <v>71</v>
      </c>
      <c r="C60" s="2" t="s">
        <v>66</v>
      </c>
      <c r="D60" s="2" t="s">
        <v>72</v>
      </c>
      <c r="E60" s="2" t="s">
        <v>73</v>
      </c>
    </row>
    <row r="61" spans="1:5" ht="7.95" customHeight="1" x14ac:dyDescent="0.3">
      <c r="A61" t="s">
        <v>1</v>
      </c>
    </row>
    <row r="62" spans="1:5" ht="24" customHeight="1" x14ac:dyDescent="0.3">
      <c r="A62" s="8" t="s">
        <v>181</v>
      </c>
      <c r="B62" s="7"/>
      <c r="C62" s="7"/>
      <c r="D62" s="7"/>
      <c r="E62" s="7"/>
    </row>
    <row r="63" spans="1:5" ht="22.05" customHeight="1" x14ac:dyDescent="0.3">
      <c r="A63" s="1" t="s">
        <v>19</v>
      </c>
      <c r="B63" s="1" t="s">
        <v>38</v>
      </c>
      <c r="C63" s="1" t="s">
        <v>39</v>
      </c>
      <c r="D63" s="1" t="s">
        <v>40</v>
      </c>
      <c r="E63" s="1" t="s">
        <v>41</v>
      </c>
    </row>
    <row r="64" spans="1:5" ht="30" customHeight="1" x14ac:dyDescent="0.3">
      <c r="A64" s="2" t="s">
        <v>21</v>
      </c>
      <c r="B64" s="2" t="s">
        <v>42</v>
      </c>
      <c r="C64" s="2" t="s">
        <v>43</v>
      </c>
      <c r="D64" s="2" t="s">
        <v>44</v>
      </c>
      <c r="E64" s="2" t="s">
        <v>182</v>
      </c>
    </row>
    <row r="65" spans="1:5" ht="30" customHeight="1" x14ac:dyDescent="0.3">
      <c r="A65" s="2" t="s">
        <v>23</v>
      </c>
      <c r="B65" s="2" t="s">
        <v>183</v>
      </c>
      <c r="C65" s="2" t="s">
        <v>47</v>
      </c>
      <c r="D65" s="2" t="s">
        <v>51</v>
      </c>
      <c r="E65" s="2" t="s">
        <v>184</v>
      </c>
    </row>
    <row r="66" spans="1:5" ht="30" customHeight="1" x14ac:dyDescent="0.3">
      <c r="A66" s="2" t="s">
        <v>24</v>
      </c>
      <c r="B66" s="2" t="s">
        <v>185</v>
      </c>
      <c r="C66" s="2" t="s">
        <v>47</v>
      </c>
      <c r="D66" s="2" t="s">
        <v>51</v>
      </c>
      <c r="E66" s="2" t="s">
        <v>186</v>
      </c>
    </row>
    <row r="67" spans="1:5" ht="30" customHeight="1" x14ac:dyDescent="0.3">
      <c r="A67" s="2" t="s">
        <v>25</v>
      </c>
      <c r="B67" s="2" t="s">
        <v>171</v>
      </c>
      <c r="C67" s="2" t="s">
        <v>47</v>
      </c>
      <c r="D67" s="2" t="s">
        <v>51</v>
      </c>
      <c r="E67" s="2" t="s">
        <v>187</v>
      </c>
    </row>
    <row r="68" spans="1:5" ht="30" customHeight="1" x14ac:dyDescent="0.3">
      <c r="A68" s="2" t="s">
        <v>26</v>
      </c>
      <c r="B68" s="2" t="s">
        <v>188</v>
      </c>
      <c r="C68" s="2" t="s">
        <v>110</v>
      </c>
      <c r="D68" s="2" t="s">
        <v>51</v>
      </c>
      <c r="E68" s="2" t="s">
        <v>189</v>
      </c>
    </row>
    <row r="69" spans="1:5" ht="30" customHeight="1" x14ac:dyDescent="0.3">
      <c r="A69" s="2" t="s">
        <v>27</v>
      </c>
      <c r="B69" s="2" t="s">
        <v>142</v>
      </c>
      <c r="C69" s="2" t="s">
        <v>114</v>
      </c>
      <c r="D69" s="2" t="s">
        <v>143</v>
      </c>
      <c r="E69" s="2" t="s">
        <v>144</v>
      </c>
    </row>
    <row r="70" spans="1:5" ht="30" customHeight="1" x14ac:dyDescent="0.3">
      <c r="A70" s="2" t="s">
        <v>28</v>
      </c>
      <c r="B70" s="2" t="s">
        <v>113</v>
      </c>
      <c r="C70" s="2" t="s">
        <v>114</v>
      </c>
      <c r="D70" s="2" t="s">
        <v>115</v>
      </c>
      <c r="E70" s="2" t="s">
        <v>116</v>
      </c>
    </row>
    <row r="71" spans="1:5" ht="7.95" customHeight="1" x14ac:dyDescent="0.3">
      <c r="A71" t="s">
        <v>1</v>
      </c>
    </row>
  </sheetData>
  <mergeCells count="7">
    <mergeCell ref="A45:E45"/>
    <mergeCell ref="A62:E62"/>
    <mergeCell ref="A1:E1"/>
    <mergeCell ref="A2:E2"/>
    <mergeCell ref="A4:E4"/>
    <mergeCell ref="A13:E13"/>
    <mergeCell ref="A30:E30"/>
  </mergeCells>
  <pageMargins left="0.25" right="0.25" top="0.5" bottom="0.5" header="0.3" footer="0.3"/>
  <pageSetup paperSize="9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7"/>
  <sheetViews>
    <sheetView workbookViewId="0">
      <pane ySplit="1" topLeftCell="A2" activePane="bottomLeft" state="frozen"/>
      <selection pane="bottomLeft" sqref="A1:E1"/>
    </sheetView>
  </sheetViews>
  <sheetFormatPr defaultRowHeight="14.4" x14ac:dyDescent="0.3"/>
  <cols>
    <col min="1" max="1" width="8" customWidth="1"/>
    <col min="2" max="2" width="32" customWidth="1"/>
    <col min="3" max="3" width="20" customWidth="1"/>
    <col min="4" max="4" width="44" customWidth="1"/>
    <col min="5" max="5" width="64" customWidth="1"/>
  </cols>
  <sheetData>
    <row r="1" spans="1:5" ht="28.05" customHeight="1" x14ac:dyDescent="0.3">
      <c r="A1" s="6" t="s">
        <v>0</v>
      </c>
      <c r="B1" s="7"/>
      <c r="C1" s="7"/>
      <c r="D1" s="7"/>
      <c r="E1" s="7"/>
    </row>
    <row r="2" spans="1:5" ht="22.05" customHeight="1" x14ac:dyDescent="0.3">
      <c r="A2" s="8" t="s">
        <v>190</v>
      </c>
      <c r="B2" s="7"/>
      <c r="C2" s="7"/>
      <c r="D2" s="7"/>
      <c r="E2" s="7"/>
    </row>
    <row r="3" spans="1:5" ht="7.95" customHeight="1" x14ac:dyDescent="0.3">
      <c r="A3" t="s">
        <v>1</v>
      </c>
    </row>
    <row r="4" spans="1:5" ht="24" customHeight="1" x14ac:dyDescent="0.3">
      <c r="A4" s="8" t="s">
        <v>191</v>
      </c>
      <c r="B4" s="7"/>
      <c r="C4" s="7"/>
      <c r="D4" s="7"/>
      <c r="E4" s="7"/>
    </row>
    <row r="5" spans="1:5" ht="22.05" customHeight="1" x14ac:dyDescent="0.3">
      <c r="A5" s="1" t="s">
        <v>19</v>
      </c>
      <c r="B5" s="1" t="s">
        <v>38</v>
      </c>
      <c r="C5" s="1" t="s">
        <v>39</v>
      </c>
      <c r="D5" s="1" t="s">
        <v>40</v>
      </c>
      <c r="E5" s="1" t="s">
        <v>41</v>
      </c>
    </row>
    <row r="6" spans="1:5" ht="30" customHeight="1" x14ac:dyDescent="0.3">
      <c r="A6" s="2" t="s">
        <v>21</v>
      </c>
      <c r="B6" s="2" t="s">
        <v>42</v>
      </c>
      <c r="C6" s="2" t="s">
        <v>43</v>
      </c>
      <c r="D6" s="2" t="s">
        <v>44</v>
      </c>
      <c r="E6" s="2" t="s">
        <v>192</v>
      </c>
    </row>
    <row r="7" spans="1:5" ht="30" customHeight="1" x14ac:dyDescent="0.3">
      <c r="A7" s="2" t="s">
        <v>23</v>
      </c>
      <c r="B7" s="2" t="s">
        <v>193</v>
      </c>
      <c r="C7" s="2" t="s">
        <v>47</v>
      </c>
      <c r="D7" s="2" t="s">
        <v>48</v>
      </c>
      <c r="E7" s="2" t="s">
        <v>194</v>
      </c>
    </row>
    <row r="8" spans="1:5" ht="30" customHeight="1" x14ac:dyDescent="0.3">
      <c r="A8" s="2" t="s">
        <v>24</v>
      </c>
      <c r="B8" s="2" t="s">
        <v>183</v>
      </c>
      <c r="C8" s="2" t="s">
        <v>47</v>
      </c>
      <c r="D8" s="2" t="s">
        <v>51</v>
      </c>
      <c r="E8" s="2" t="s">
        <v>195</v>
      </c>
    </row>
    <row r="9" spans="1:5" ht="30" customHeight="1" x14ac:dyDescent="0.3">
      <c r="A9" s="2" t="s">
        <v>25</v>
      </c>
      <c r="B9" s="2" t="s">
        <v>60</v>
      </c>
      <c r="C9" s="2" t="s">
        <v>47</v>
      </c>
      <c r="D9" s="2" t="s">
        <v>51</v>
      </c>
      <c r="E9" s="2" t="s">
        <v>62</v>
      </c>
    </row>
    <row r="10" spans="1:5" ht="30" customHeight="1" x14ac:dyDescent="0.3">
      <c r="A10" s="2" t="s">
        <v>26</v>
      </c>
      <c r="B10" s="2" t="s">
        <v>46</v>
      </c>
      <c r="C10" s="2" t="s">
        <v>47</v>
      </c>
      <c r="D10" s="2" t="s">
        <v>51</v>
      </c>
      <c r="E10" s="2" t="s">
        <v>196</v>
      </c>
    </row>
    <row r="11" spans="1:5" ht="30" customHeight="1" x14ac:dyDescent="0.3">
      <c r="A11" s="2" t="s">
        <v>27</v>
      </c>
      <c r="B11" s="2" t="s">
        <v>197</v>
      </c>
      <c r="C11" s="2" t="s">
        <v>47</v>
      </c>
      <c r="D11" s="2" t="s">
        <v>51</v>
      </c>
      <c r="E11" s="2" t="s">
        <v>198</v>
      </c>
    </row>
    <row r="12" spans="1:5" ht="30" customHeight="1" x14ac:dyDescent="0.3">
      <c r="A12" s="2" t="s">
        <v>28</v>
      </c>
      <c r="B12" s="2" t="s">
        <v>199</v>
      </c>
      <c r="C12" s="2" t="s">
        <v>66</v>
      </c>
      <c r="D12" s="2" t="s">
        <v>61</v>
      </c>
      <c r="E12" s="2" t="s">
        <v>200</v>
      </c>
    </row>
    <row r="13" spans="1:5" ht="30" customHeight="1" x14ac:dyDescent="0.3">
      <c r="A13" s="2" t="s">
        <v>29</v>
      </c>
      <c r="B13" s="2" t="s">
        <v>152</v>
      </c>
      <c r="C13" s="2" t="s">
        <v>110</v>
      </c>
      <c r="D13" s="2" t="s">
        <v>61</v>
      </c>
      <c r="E13" s="2" t="s">
        <v>201</v>
      </c>
    </row>
    <row r="14" spans="1:5" ht="30" customHeight="1" x14ac:dyDescent="0.3">
      <c r="A14" s="2" t="s">
        <v>30</v>
      </c>
      <c r="B14" s="2" t="s">
        <v>202</v>
      </c>
      <c r="C14" s="2" t="s">
        <v>47</v>
      </c>
      <c r="D14" s="2" t="s">
        <v>61</v>
      </c>
      <c r="E14" s="2" t="s">
        <v>203</v>
      </c>
    </row>
    <row r="15" spans="1:5" ht="30" customHeight="1" x14ac:dyDescent="0.3">
      <c r="A15" s="2" t="s">
        <v>31</v>
      </c>
      <c r="B15" s="2" t="s">
        <v>137</v>
      </c>
      <c r="C15" s="2" t="s">
        <v>47</v>
      </c>
      <c r="D15" s="2" t="s">
        <v>61</v>
      </c>
      <c r="E15" s="2" t="s">
        <v>204</v>
      </c>
    </row>
    <row r="16" spans="1:5" ht="30" customHeight="1" x14ac:dyDescent="0.3">
      <c r="A16" s="2" t="s">
        <v>32</v>
      </c>
      <c r="B16" s="2" t="s">
        <v>205</v>
      </c>
      <c r="C16" s="2" t="s">
        <v>47</v>
      </c>
      <c r="D16" s="2" t="s">
        <v>61</v>
      </c>
      <c r="E16" s="2" t="s">
        <v>206</v>
      </c>
    </row>
    <row r="17" spans="1:5" ht="30" customHeight="1" x14ac:dyDescent="0.3">
      <c r="A17" s="2" t="s">
        <v>34</v>
      </c>
      <c r="B17" s="2" t="s">
        <v>55</v>
      </c>
      <c r="C17" s="2" t="s">
        <v>47</v>
      </c>
      <c r="D17" s="2" t="s">
        <v>207</v>
      </c>
      <c r="E17" s="2" t="s">
        <v>208</v>
      </c>
    </row>
    <row r="18" spans="1:5" ht="30" customHeight="1" x14ac:dyDescent="0.3">
      <c r="A18" s="2" t="s">
        <v>141</v>
      </c>
      <c r="B18" s="2" t="s">
        <v>209</v>
      </c>
      <c r="C18" s="2" t="s">
        <v>43</v>
      </c>
      <c r="D18" s="2" t="s">
        <v>179</v>
      </c>
      <c r="E18" s="2" t="s">
        <v>210</v>
      </c>
    </row>
    <row r="19" spans="1:5" ht="30" customHeight="1" x14ac:dyDescent="0.3">
      <c r="A19" s="2" t="s">
        <v>145</v>
      </c>
      <c r="B19" s="2" t="s">
        <v>211</v>
      </c>
      <c r="C19" s="2" t="s">
        <v>43</v>
      </c>
      <c r="D19" s="2" t="s">
        <v>179</v>
      </c>
      <c r="E19" s="2" t="s">
        <v>212</v>
      </c>
    </row>
    <row r="20" spans="1:5" ht="30" customHeight="1" x14ac:dyDescent="0.3">
      <c r="A20" s="2" t="s">
        <v>213</v>
      </c>
      <c r="B20" s="2" t="s">
        <v>214</v>
      </c>
      <c r="C20" s="2" t="s">
        <v>66</v>
      </c>
      <c r="D20" s="2" t="s">
        <v>61</v>
      </c>
      <c r="E20" s="2" t="s">
        <v>215</v>
      </c>
    </row>
    <row r="21" spans="1:5" ht="30" customHeight="1" x14ac:dyDescent="0.3">
      <c r="A21" s="2" t="s">
        <v>216</v>
      </c>
      <c r="B21" s="2" t="s">
        <v>217</v>
      </c>
      <c r="C21" s="2" t="s">
        <v>66</v>
      </c>
      <c r="D21" s="2" t="s">
        <v>61</v>
      </c>
      <c r="E21" s="2" t="s">
        <v>218</v>
      </c>
    </row>
    <row r="22" spans="1:5" ht="30" customHeight="1" x14ac:dyDescent="0.3">
      <c r="A22" s="2" t="s">
        <v>219</v>
      </c>
      <c r="B22" s="2" t="s">
        <v>220</v>
      </c>
      <c r="C22" s="2" t="s">
        <v>66</v>
      </c>
      <c r="D22" s="2" t="s">
        <v>61</v>
      </c>
      <c r="E22" s="2" t="s">
        <v>221</v>
      </c>
    </row>
    <row r="23" spans="1:5" ht="30" customHeight="1" x14ac:dyDescent="0.3">
      <c r="A23" s="2" t="s">
        <v>222</v>
      </c>
      <c r="B23" s="2" t="s">
        <v>68</v>
      </c>
      <c r="C23" s="2" t="s">
        <v>66</v>
      </c>
      <c r="D23" s="2" t="s">
        <v>69</v>
      </c>
      <c r="E23" s="2" t="s">
        <v>70</v>
      </c>
    </row>
    <row r="24" spans="1:5" ht="30" customHeight="1" x14ac:dyDescent="0.3">
      <c r="A24" s="2" t="s">
        <v>223</v>
      </c>
      <c r="B24" s="2" t="s">
        <v>71</v>
      </c>
      <c r="C24" s="2" t="s">
        <v>66</v>
      </c>
      <c r="D24" s="2" t="s">
        <v>72</v>
      </c>
      <c r="E24" s="2" t="s">
        <v>73</v>
      </c>
    </row>
    <row r="25" spans="1:5" ht="7.95" customHeight="1" x14ac:dyDescent="0.3">
      <c r="A25" t="s">
        <v>1</v>
      </c>
    </row>
    <row r="26" spans="1:5" ht="24" customHeight="1" x14ac:dyDescent="0.3">
      <c r="A26" s="8" t="s">
        <v>224</v>
      </c>
      <c r="B26" s="7"/>
      <c r="C26" s="7"/>
      <c r="D26" s="7"/>
      <c r="E26" s="7"/>
    </row>
    <row r="27" spans="1:5" ht="22.05" customHeight="1" x14ac:dyDescent="0.3">
      <c r="A27" s="1" t="s">
        <v>19</v>
      </c>
      <c r="B27" s="1" t="s">
        <v>38</v>
      </c>
      <c r="C27" s="1" t="s">
        <v>39</v>
      </c>
      <c r="D27" s="1" t="s">
        <v>40</v>
      </c>
      <c r="E27" s="1" t="s">
        <v>41</v>
      </c>
    </row>
    <row r="28" spans="1:5" ht="30" customHeight="1" x14ac:dyDescent="0.3">
      <c r="A28" s="2" t="s">
        <v>21</v>
      </c>
      <c r="B28" s="2" t="s">
        <v>42</v>
      </c>
      <c r="C28" s="2" t="s">
        <v>43</v>
      </c>
      <c r="D28" s="2" t="s">
        <v>44</v>
      </c>
      <c r="E28" s="2" t="s">
        <v>225</v>
      </c>
    </row>
    <row r="29" spans="1:5" ht="30" customHeight="1" x14ac:dyDescent="0.3">
      <c r="A29" s="2" t="s">
        <v>23</v>
      </c>
      <c r="B29" s="2" t="s">
        <v>103</v>
      </c>
      <c r="C29" s="2" t="s">
        <v>47</v>
      </c>
      <c r="D29" s="2" t="s">
        <v>51</v>
      </c>
      <c r="E29" s="2" t="s">
        <v>226</v>
      </c>
    </row>
    <row r="30" spans="1:5" ht="30" customHeight="1" x14ac:dyDescent="0.3">
      <c r="A30" s="2" t="s">
        <v>24</v>
      </c>
      <c r="B30" s="2" t="s">
        <v>105</v>
      </c>
      <c r="C30" s="2" t="s">
        <v>47</v>
      </c>
      <c r="D30" s="2" t="s">
        <v>227</v>
      </c>
      <c r="E30" s="2" t="s">
        <v>228</v>
      </c>
    </row>
    <row r="31" spans="1:5" ht="30" customHeight="1" x14ac:dyDescent="0.3">
      <c r="A31" s="2" t="s">
        <v>25</v>
      </c>
      <c r="B31" s="2" t="s">
        <v>229</v>
      </c>
      <c r="C31" s="2" t="s">
        <v>47</v>
      </c>
      <c r="D31" s="2" t="s">
        <v>51</v>
      </c>
      <c r="E31" s="2" t="s">
        <v>198</v>
      </c>
    </row>
    <row r="32" spans="1:5" ht="30" customHeight="1" x14ac:dyDescent="0.3">
      <c r="A32" s="2" t="s">
        <v>26</v>
      </c>
      <c r="B32" s="2" t="s">
        <v>55</v>
      </c>
      <c r="C32" s="2" t="s">
        <v>47</v>
      </c>
      <c r="D32" s="2" t="s">
        <v>173</v>
      </c>
      <c r="E32" s="2" t="s">
        <v>230</v>
      </c>
    </row>
    <row r="33" spans="1:5" ht="30" customHeight="1" x14ac:dyDescent="0.3">
      <c r="A33" s="2" t="s">
        <v>27</v>
      </c>
      <c r="B33" s="2" t="s">
        <v>211</v>
      </c>
      <c r="C33" s="2" t="s">
        <v>43</v>
      </c>
      <c r="D33" s="2" t="s">
        <v>176</v>
      </c>
      <c r="E33" s="2" t="s">
        <v>231</v>
      </c>
    </row>
    <row r="34" spans="1:5" ht="30" customHeight="1" x14ac:dyDescent="0.3">
      <c r="A34" s="2" t="s">
        <v>28</v>
      </c>
      <c r="B34" s="2" t="s">
        <v>232</v>
      </c>
      <c r="C34" s="2" t="s">
        <v>43</v>
      </c>
      <c r="D34" s="2" t="s">
        <v>179</v>
      </c>
      <c r="E34" s="2" t="s">
        <v>233</v>
      </c>
    </row>
    <row r="35" spans="1:5" ht="30" customHeight="1" x14ac:dyDescent="0.3">
      <c r="A35" s="2" t="s">
        <v>29</v>
      </c>
      <c r="B35" s="2" t="s">
        <v>234</v>
      </c>
      <c r="C35" s="2" t="s">
        <v>43</v>
      </c>
      <c r="D35" s="2" t="s">
        <v>235</v>
      </c>
      <c r="E35" s="2" t="s">
        <v>236</v>
      </c>
    </row>
    <row r="36" spans="1:5" ht="30" customHeight="1" x14ac:dyDescent="0.3">
      <c r="A36" s="2" t="s">
        <v>30</v>
      </c>
      <c r="B36" s="2" t="s">
        <v>199</v>
      </c>
      <c r="C36" s="2" t="s">
        <v>66</v>
      </c>
      <c r="D36" s="2" t="s">
        <v>61</v>
      </c>
      <c r="E36" s="2" t="s">
        <v>237</v>
      </c>
    </row>
    <row r="37" spans="1:5" ht="30" customHeight="1" x14ac:dyDescent="0.3">
      <c r="A37" s="2" t="s">
        <v>31</v>
      </c>
      <c r="B37" s="2" t="s">
        <v>137</v>
      </c>
      <c r="C37" s="2" t="s">
        <v>47</v>
      </c>
      <c r="D37" s="2" t="s">
        <v>61</v>
      </c>
      <c r="E37" s="2" t="s">
        <v>238</v>
      </c>
    </row>
    <row r="38" spans="1:5" ht="30" customHeight="1" x14ac:dyDescent="0.3">
      <c r="A38" s="2" t="s">
        <v>32</v>
      </c>
      <c r="B38" s="2" t="s">
        <v>152</v>
      </c>
      <c r="C38" s="2" t="s">
        <v>110</v>
      </c>
      <c r="D38" s="2" t="s">
        <v>61</v>
      </c>
      <c r="E38" s="2" t="s">
        <v>239</v>
      </c>
    </row>
    <row r="39" spans="1:5" ht="30" customHeight="1" x14ac:dyDescent="0.3">
      <c r="A39" s="2" t="s">
        <v>34</v>
      </c>
      <c r="B39" s="2" t="s">
        <v>240</v>
      </c>
      <c r="C39" s="2" t="s">
        <v>129</v>
      </c>
      <c r="D39" s="2" t="s">
        <v>61</v>
      </c>
      <c r="E39" s="2" t="s">
        <v>241</v>
      </c>
    </row>
    <row r="40" spans="1:5" ht="30" customHeight="1" x14ac:dyDescent="0.3">
      <c r="A40" s="2" t="s">
        <v>141</v>
      </c>
      <c r="B40" s="2" t="s">
        <v>242</v>
      </c>
      <c r="C40" s="2" t="s">
        <v>129</v>
      </c>
      <c r="D40" s="2" t="s">
        <v>61</v>
      </c>
      <c r="E40" s="2" t="s">
        <v>243</v>
      </c>
    </row>
    <row r="41" spans="1:5" ht="30" customHeight="1" x14ac:dyDescent="0.3">
      <c r="A41" s="2" t="s">
        <v>145</v>
      </c>
      <c r="B41" s="2" t="s">
        <v>244</v>
      </c>
      <c r="C41" s="2" t="s">
        <v>110</v>
      </c>
      <c r="D41" s="2" t="s">
        <v>111</v>
      </c>
      <c r="E41" s="2" t="s">
        <v>245</v>
      </c>
    </row>
    <row r="42" spans="1:5" ht="30" customHeight="1" x14ac:dyDescent="0.3">
      <c r="A42" s="2" t="s">
        <v>213</v>
      </c>
      <c r="B42" s="2" t="s">
        <v>246</v>
      </c>
      <c r="C42" s="2" t="s">
        <v>47</v>
      </c>
      <c r="D42" s="2" t="s">
        <v>61</v>
      </c>
      <c r="E42" s="2" t="s">
        <v>247</v>
      </c>
    </row>
    <row r="43" spans="1:5" ht="30" customHeight="1" x14ac:dyDescent="0.3">
      <c r="A43" s="2" t="s">
        <v>216</v>
      </c>
      <c r="B43" s="2" t="s">
        <v>68</v>
      </c>
      <c r="C43" s="2" t="s">
        <v>66</v>
      </c>
      <c r="D43" s="2" t="s">
        <v>69</v>
      </c>
      <c r="E43" s="2" t="s">
        <v>70</v>
      </c>
    </row>
    <row r="44" spans="1:5" ht="30" customHeight="1" x14ac:dyDescent="0.3">
      <c r="A44" s="2" t="s">
        <v>219</v>
      </c>
      <c r="B44" s="2" t="s">
        <v>71</v>
      </c>
      <c r="C44" s="2" t="s">
        <v>66</v>
      </c>
      <c r="D44" s="2" t="s">
        <v>72</v>
      </c>
      <c r="E44" s="2" t="s">
        <v>73</v>
      </c>
    </row>
    <row r="45" spans="1:5" ht="30" customHeight="1" x14ac:dyDescent="0.3">
      <c r="A45" s="2" t="s">
        <v>222</v>
      </c>
      <c r="B45" s="2" t="s">
        <v>248</v>
      </c>
      <c r="C45" s="2" t="s">
        <v>66</v>
      </c>
      <c r="D45" s="2" t="s">
        <v>61</v>
      </c>
      <c r="E45" s="2" t="s">
        <v>249</v>
      </c>
    </row>
    <row r="46" spans="1:5" ht="7.95" customHeight="1" x14ac:dyDescent="0.3">
      <c r="A46" t="s">
        <v>1</v>
      </c>
    </row>
    <row r="47" spans="1:5" ht="24" customHeight="1" x14ac:dyDescent="0.3">
      <c r="A47" s="8" t="s">
        <v>250</v>
      </c>
      <c r="B47" s="7"/>
      <c r="C47" s="7"/>
      <c r="D47" s="7"/>
      <c r="E47" s="7"/>
    </row>
    <row r="48" spans="1:5" ht="22.05" customHeight="1" x14ac:dyDescent="0.3">
      <c r="A48" s="1" t="s">
        <v>19</v>
      </c>
      <c r="B48" s="1" t="s">
        <v>38</v>
      </c>
      <c r="C48" s="1" t="s">
        <v>39</v>
      </c>
      <c r="D48" s="1" t="s">
        <v>40</v>
      </c>
      <c r="E48" s="1" t="s">
        <v>41</v>
      </c>
    </row>
    <row r="49" spans="1:5" ht="30" customHeight="1" x14ac:dyDescent="0.3">
      <c r="A49" s="2" t="s">
        <v>21</v>
      </c>
      <c r="B49" s="2" t="s">
        <v>42</v>
      </c>
      <c r="C49" s="2" t="s">
        <v>43</v>
      </c>
      <c r="D49" s="2" t="s">
        <v>44</v>
      </c>
      <c r="E49" s="2" t="s">
        <v>251</v>
      </c>
    </row>
    <row r="50" spans="1:5" ht="30" customHeight="1" x14ac:dyDescent="0.3">
      <c r="A50" s="2" t="s">
        <v>23</v>
      </c>
      <c r="B50" s="2" t="s">
        <v>159</v>
      </c>
      <c r="C50" s="2" t="s">
        <v>43</v>
      </c>
      <c r="D50" s="2" t="s">
        <v>252</v>
      </c>
      <c r="E50" s="2" t="s">
        <v>253</v>
      </c>
    </row>
    <row r="51" spans="1:5" ht="30" customHeight="1" x14ac:dyDescent="0.3">
      <c r="A51" s="2" t="s">
        <v>24</v>
      </c>
      <c r="B51" s="2" t="s">
        <v>122</v>
      </c>
      <c r="C51" s="2" t="s">
        <v>47</v>
      </c>
      <c r="D51" s="2" t="s">
        <v>51</v>
      </c>
      <c r="E51" s="2" t="s">
        <v>254</v>
      </c>
    </row>
    <row r="52" spans="1:5" ht="30" customHeight="1" x14ac:dyDescent="0.3">
      <c r="A52" s="2" t="s">
        <v>25</v>
      </c>
      <c r="B52" s="2" t="s">
        <v>107</v>
      </c>
      <c r="C52" s="2" t="s">
        <v>47</v>
      </c>
      <c r="D52" s="2" t="s">
        <v>61</v>
      </c>
      <c r="E52" s="2" t="s">
        <v>255</v>
      </c>
    </row>
    <row r="53" spans="1:5" ht="30" customHeight="1" x14ac:dyDescent="0.3">
      <c r="A53" s="2" t="s">
        <v>26</v>
      </c>
      <c r="B53" s="2" t="s">
        <v>256</v>
      </c>
      <c r="C53" s="2" t="s">
        <v>66</v>
      </c>
      <c r="D53" s="2" t="s">
        <v>61</v>
      </c>
      <c r="E53" s="2" t="s">
        <v>257</v>
      </c>
    </row>
    <row r="54" spans="1:5" ht="30" customHeight="1" x14ac:dyDescent="0.3">
      <c r="A54" s="2" t="s">
        <v>27</v>
      </c>
      <c r="B54" s="2" t="s">
        <v>55</v>
      </c>
      <c r="C54" s="2" t="s">
        <v>47</v>
      </c>
      <c r="D54" s="2" t="s">
        <v>258</v>
      </c>
      <c r="E54" s="2" t="s">
        <v>259</v>
      </c>
    </row>
    <row r="55" spans="1:5" ht="30" customHeight="1" x14ac:dyDescent="0.3">
      <c r="A55" s="2" t="s">
        <v>28</v>
      </c>
      <c r="B55" s="2" t="s">
        <v>109</v>
      </c>
      <c r="C55" s="2" t="s">
        <v>110</v>
      </c>
      <c r="D55" s="2" t="s">
        <v>111</v>
      </c>
      <c r="E55" s="2" t="s">
        <v>112</v>
      </c>
    </row>
    <row r="56" spans="1:5" ht="30" customHeight="1" x14ac:dyDescent="0.3">
      <c r="A56" s="2" t="s">
        <v>29</v>
      </c>
      <c r="B56" s="2" t="s">
        <v>68</v>
      </c>
      <c r="C56" s="2" t="s">
        <v>66</v>
      </c>
      <c r="D56" s="2" t="s">
        <v>69</v>
      </c>
      <c r="E56" s="2" t="s">
        <v>70</v>
      </c>
    </row>
    <row r="57" spans="1:5" ht="30" customHeight="1" x14ac:dyDescent="0.3">
      <c r="A57" s="2" t="s">
        <v>30</v>
      </c>
      <c r="B57" s="2" t="s">
        <v>71</v>
      </c>
      <c r="C57" s="2" t="s">
        <v>66</v>
      </c>
      <c r="D57" s="2" t="s">
        <v>72</v>
      </c>
      <c r="E57" s="2" t="s">
        <v>73</v>
      </c>
    </row>
    <row r="58" spans="1:5" ht="7.95" customHeight="1" x14ac:dyDescent="0.3">
      <c r="A58" t="s">
        <v>1</v>
      </c>
    </row>
    <row r="59" spans="1:5" ht="24" customHeight="1" x14ac:dyDescent="0.3">
      <c r="A59" s="8" t="s">
        <v>260</v>
      </c>
      <c r="B59" s="7"/>
      <c r="C59" s="7"/>
      <c r="D59" s="7"/>
      <c r="E59" s="7"/>
    </row>
    <row r="60" spans="1:5" ht="22.05" customHeight="1" x14ac:dyDescent="0.3">
      <c r="A60" s="1" t="s">
        <v>19</v>
      </c>
      <c r="B60" s="1" t="s">
        <v>38</v>
      </c>
      <c r="C60" s="1" t="s">
        <v>39</v>
      </c>
      <c r="D60" s="1" t="s">
        <v>40</v>
      </c>
      <c r="E60" s="1" t="s">
        <v>41</v>
      </c>
    </row>
    <row r="61" spans="1:5" ht="30" customHeight="1" x14ac:dyDescent="0.3">
      <c r="A61" s="2" t="s">
        <v>21</v>
      </c>
      <c r="B61" s="2" t="s">
        <v>42</v>
      </c>
      <c r="C61" s="2" t="s">
        <v>43</v>
      </c>
      <c r="D61" s="2" t="s">
        <v>44</v>
      </c>
      <c r="E61" s="2" t="s">
        <v>261</v>
      </c>
    </row>
    <row r="62" spans="1:5" ht="30" customHeight="1" x14ac:dyDescent="0.3">
      <c r="A62" s="2" t="s">
        <v>23</v>
      </c>
      <c r="B62" s="2" t="s">
        <v>159</v>
      </c>
      <c r="C62" s="2" t="s">
        <v>43</v>
      </c>
      <c r="D62" s="2" t="s">
        <v>252</v>
      </c>
      <c r="E62" s="2" t="s">
        <v>253</v>
      </c>
    </row>
    <row r="63" spans="1:5" ht="30" customHeight="1" x14ac:dyDescent="0.3">
      <c r="A63" s="2" t="s">
        <v>24</v>
      </c>
      <c r="B63" s="2" t="s">
        <v>262</v>
      </c>
      <c r="C63" s="2" t="s">
        <v>43</v>
      </c>
      <c r="D63" s="2" t="s">
        <v>179</v>
      </c>
      <c r="E63" s="2" t="s">
        <v>263</v>
      </c>
    </row>
    <row r="64" spans="1:5" ht="30" customHeight="1" x14ac:dyDescent="0.3">
      <c r="A64" s="2" t="s">
        <v>25</v>
      </c>
      <c r="B64" s="2" t="s">
        <v>264</v>
      </c>
      <c r="C64" s="2" t="s">
        <v>47</v>
      </c>
      <c r="D64" s="2" t="s">
        <v>61</v>
      </c>
      <c r="E64" s="2" t="s">
        <v>265</v>
      </c>
    </row>
    <row r="65" spans="1:5" ht="30" customHeight="1" x14ac:dyDescent="0.3">
      <c r="A65" s="2" t="s">
        <v>26</v>
      </c>
      <c r="B65" s="2" t="s">
        <v>266</v>
      </c>
      <c r="C65" s="2" t="s">
        <v>47</v>
      </c>
      <c r="D65" s="2" t="s">
        <v>51</v>
      </c>
      <c r="E65" s="2" t="s">
        <v>267</v>
      </c>
    </row>
    <row r="66" spans="1:5" ht="30" customHeight="1" x14ac:dyDescent="0.3">
      <c r="A66" s="2" t="s">
        <v>27</v>
      </c>
      <c r="B66" s="2" t="s">
        <v>68</v>
      </c>
      <c r="C66" s="2" t="s">
        <v>66</v>
      </c>
      <c r="D66" s="2" t="s">
        <v>69</v>
      </c>
      <c r="E66" s="2" t="s">
        <v>268</v>
      </c>
    </row>
    <row r="67" spans="1:5" ht="7.95" customHeight="1" x14ac:dyDescent="0.3">
      <c r="A67" t="s">
        <v>1</v>
      </c>
    </row>
  </sheetData>
  <mergeCells count="6">
    <mergeCell ref="A59:E59"/>
    <mergeCell ref="A1:E1"/>
    <mergeCell ref="A2:E2"/>
    <mergeCell ref="A4:E4"/>
    <mergeCell ref="A26:E26"/>
    <mergeCell ref="A47:E47"/>
  </mergeCells>
  <pageMargins left="0.25" right="0.25" top="0.5" bottom="0.5" header="0.3" footer="0.3"/>
  <pageSetup paperSize="9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8" customWidth="1"/>
    <col min="2" max="2" width="32" customWidth="1"/>
    <col min="3" max="3" width="20" customWidth="1"/>
    <col min="4" max="4" width="44" customWidth="1"/>
    <col min="5" max="5" width="64" customWidth="1"/>
  </cols>
  <sheetData>
    <row r="1" spans="1:5" ht="28.05" customHeight="1" x14ac:dyDescent="0.3">
      <c r="A1" s="6" t="s">
        <v>0</v>
      </c>
      <c r="B1" s="7"/>
      <c r="C1" s="7"/>
      <c r="D1" s="7"/>
      <c r="E1" s="7"/>
    </row>
    <row r="2" spans="1:5" ht="22.05" customHeight="1" x14ac:dyDescent="0.3">
      <c r="A2" s="8" t="s">
        <v>269</v>
      </c>
      <c r="B2" s="7"/>
      <c r="C2" s="7"/>
      <c r="D2" s="7"/>
      <c r="E2" s="7"/>
    </row>
    <row r="3" spans="1:5" ht="7.95" customHeight="1" x14ac:dyDescent="0.3">
      <c r="A3" t="s">
        <v>1</v>
      </c>
    </row>
    <row r="4" spans="1:5" ht="24" customHeight="1" x14ac:dyDescent="0.3">
      <c r="A4" s="8" t="s">
        <v>270</v>
      </c>
      <c r="B4" s="7"/>
      <c r="C4" s="7"/>
      <c r="D4" s="7"/>
      <c r="E4" s="7"/>
    </row>
    <row r="5" spans="1:5" ht="22.05" customHeight="1" x14ac:dyDescent="0.3">
      <c r="A5" s="1" t="s">
        <v>19</v>
      </c>
      <c r="B5" s="1" t="s">
        <v>38</v>
      </c>
      <c r="C5" s="1" t="s">
        <v>39</v>
      </c>
      <c r="D5" s="1" t="s">
        <v>40</v>
      </c>
      <c r="E5" s="1" t="s">
        <v>41</v>
      </c>
    </row>
    <row r="6" spans="1:5" ht="30" customHeight="1" x14ac:dyDescent="0.3">
      <c r="A6" s="2" t="s">
        <v>21</v>
      </c>
      <c r="B6" s="2" t="s">
        <v>42</v>
      </c>
      <c r="C6" s="2" t="s">
        <v>43</v>
      </c>
      <c r="D6" s="2" t="s">
        <v>44</v>
      </c>
      <c r="E6" s="2" t="s">
        <v>271</v>
      </c>
    </row>
    <row r="7" spans="1:5" ht="30" customHeight="1" x14ac:dyDescent="0.3">
      <c r="A7" s="2" t="s">
        <v>23</v>
      </c>
      <c r="B7" s="2" t="s">
        <v>159</v>
      </c>
      <c r="C7" s="2" t="s">
        <v>43</v>
      </c>
      <c r="D7" s="2" t="s">
        <v>252</v>
      </c>
      <c r="E7" s="2" t="s">
        <v>272</v>
      </c>
    </row>
    <row r="8" spans="1:5" ht="30" customHeight="1" x14ac:dyDescent="0.3">
      <c r="A8" s="2" t="s">
        <v>24</v>
      </c>
      <c r="B8" s="2" t="s">
        <v>122</v>
      </c>
      <c r="C8" s="2" t="s">
        <v>47</v>
      </c>
      <c r="D8" s="2" t="s">
        <v>51</v>
      </c>
      <c r="E8" s="2" t="s">
        <v>273</v>
      </c>
    </row>
    <row r="9" spans="1:5" ht="30" customHeight="1" x14ac:dyDescent="0.3">
      <c r="A9" s="2" t="s">
        <v>25</v>
      </c>
      <c r="B9" s="2" t="s">
        <v>107</v>
      </c>
      <c r="C9" s="2" t="s">
        <v>47</v>
      </c>
      <c r="D9" s="2" t="s">
        <v>61</v>
      </c>
      <c r="E9" s="2" t="s">
        <v>274</v>
      </c>
    </row>
    <row r="10" spans="1:5" ht="30" customHeight="1" x14ac:dyDescent="0.3">
      <c r="A10" s="2" t="s">
        <v>26</v>
      </c>
      <c r="B10" s="2" t="s">
        <v>55</v>
      </c>
      <c r="C10" s="2" t="s">
        <v>47</v>
      </c>
      <c r="D10" s="2" t="s">
        <v>258</v>
      </c>
      <c r="E10" s="2" t="s">
        <v>275</v>
      </c>
    </row>
    <row r="11" spans="1:5" ht="30" customHeight="1" x14ac:dyDescent="0.3">
      <c r="A11" s="2" t="s">
        <v>27</v>
      </c>
      <c r="B11" s="2" t="s">
        <v>276</v>
      </c>
      <c r="C11" s="2" t="s">
        <v>47</v>
      </c>
      <c r="D11" s="2" t="s">
        <v>277</v>
      </c>
      <c r="E11" s="2" t="s">
        <v>278</v>
      </c>
    </row>
    <row r="12" spans="1:5" ht="30" customHeight="1" x14ac:dyDescent="0.3">
      <c r="A12" s="2" t="s">
        <v>28</v>
      </c>
      <c r="B12" s="2" t="s">
        <v>279</v>
      </c>
      <c r="C12" s="2" t="s">
        <v>43</v>
      </c>
      <c r="D12" s="2" t="s">
        <v>179</v>
      </c>
      <c r="E12" s="2" t="s">
        <v>280</v>
      </c>
    </row>
    <row r="13" spans="1:5" ht="30" customHeight="1" x14ac:dyDescent="0.3">
      <c r="A13" s="2" t="s">
        <v>29</v>
      </c>
      <c r="B13" s="2" t="s">
        <v>281</v>
      </c>
      <c r="C13" s="2" t="s">
        <v>66</v>
      </c>
      <c r="D13" s="2" t="s">
        <v>61</v>
      </c>
      <c r="E13" s="2" t="s">
        <v>282</v>
      </c>
    </row>
    <row r="14" spans="1:5" ht="30" customHeight="1" x14ac:dyDescent="0.3">
      <c r="A14" s="2" t="s">
        <v>30</v>
      </c>
      <c r="B14" s="2" t="s">
        <v>109</v>
      </c>
      <c r="C14" s="2" t="s">
        <v>110</v>
      </c>
      <c r="D14" s="2" t="s">
        <v>111</v>
      </c>
      <c r="E14" s="2" t="s">
        <v>283</v>
      </c>
    </row>
    <row r="15" spans="1:5" ht="30" customHeight="1" x14ac:dyDescent="0.3">
      <c r="A15" s="2" t="s">
        <v>31</v>
      </c>
      <c r="B15" s="2" t="s">
        <v>175</v>
      </c>
      <c r="C15" s="2" t="s">
        <v>43</v>
      </c>
      <c r="D15" s="2" t="s">
        <v>176</v>
      </c>
      <c r="E15" s="2" t="s">
        <v>284</v>
      </c>
    </row>
    <row r="16" spans="1:5" ht="30" customHeight="1" x14ac:dyDescent="0.3">
      <c r="A16" s="2" t="s">
        <v>32</v>
      </c>
      <c r="B16" s="2" t="s">
        <v>68</v>
      </c>
      <c r="C16" s="2" t="s">
        <v>66</v>
      </c>
      <c r="D16" s="2" t="s">
        <v>69</v>
      </c>
      <c r="E16" s="2" t="s">
        <v>70</v>
      </c>
    </row>
    <row r="17" spans="1:5" ht="30" customHeight="1" x14ac:dyDescent="0.3">
      <c r="A17" s="2" t="s">
        <v>34</v>
      </c>
      <c r="B17" s="2" t="s">
        <v>71</v>
      </c>
      <c r="C17" s="2" t="s">
        <v>66</v>
      </c>
      <c r="D17" s="2" t="s">
        <v>72</v>
      </c>
      <c r="E17" s="2" t="s">
        <v>73</v>
      </c>
    </row>
    <row r="18" spans="1:5" ht="30" customHeight="1" x14ac:dyDescent="0.3">
      <c r="A18" s="2" t="s">
        <v>141</v>
      </c>
      <c r="B18" s="2" t="s">
        <v>248</v>
      </c>
      <c r="C18" s="2" t="s">
        <v>66</v>
      </c>
      <c r="D18" s="2" t="s">
        <v>61</v>
      </c>
      <c r="E18" s="2" t="s">
        <v>249</v>
      </c>
    </row>
    <row r="19" spans="1:5" ht="7.95" customHeight="1" x14ac:dyDescent="0.3">
      <c r="A19" t="s">
        <v>1</v>
      </c>
    </row>
    <row r="20" spans="1:5" ht="24" customHeight="1" x14ac:dyDescent="0.3">
      <c r="A20" s="8" t="s">
        <v>285</v>
      </c>
      <c r="B20" s="7"/>
      <c r="C20" s="7"/>
      <c r="D20" s="7"/>
      <c r="E20" s="7"/>
    </row>
    <row r="21" spans="1:5" ht="22.05" customHeight="1" x14ac:dyDescent="0.3">
      <c r="A21" s="1" t="s">
        <v>19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5" ht="30" customHeight="1" x14ac:dyDescent="0.3">
      <c r="A22" s="2" t="s">
        <v>21</v>
      </c>
      <c r="B22" s="2" t="s">
        <v>42</v>
      </c>
      <c r="C22" s="2" t="s">
        <v>43</v>
      </c>
      <c r="D22" s="2" t="s">
        <v>44</v>
      </c>
      <c r="E22" s="2" t="s">
        <v>286</v>
      </c>
    </row>
    <row r="23" spans="1:5" ht="30" customHeight="1" x14ac:dyDescent="0.3">
      <c r="A23" s="2" t="s">
        <v>23</v>
      </c>
      <c r="B23" s="2" t="s">
        <v>287</v>
      </c>
      <c r="C23" s="2" t="s">
        <v>43</v>
      </c>
      <c r="D23" s="2" t="s">
        <v>288</v>
      </c>
      <c r="E23" s="2" t="s">
        <v>289</v>
      </c>
    </row>
    <row r="24" spans="1:5" ht="30" customHeight="1" x14ac:dyDescent="0.3">
      <c r="A24" s="2" t="s">
        <v>24</v>
      </c>
      <c r="B24" s="2" t="s">
        <v>290</v>
      </c>
      <c r="C24" s="2" t="s">
        <v>47</v>
      </c>
      <c r="D24" s="2" t="s">
        <v>61</v>
      </c>
      <c r="E24" s="2" t="s">
        <v>291</v>
      </c>
    </row>
    <row r="25" spans="1:5" ht="30" customHeight="1" x14ac:dyDescent="0.3">
      <c r="A25" s="2" t="s">
        <v>25</v>
      </c>
      <c r="B25" s="2" t="s">
        <v>292</v>
      </c>
      <c r="C25" s="2" t="s">
        <v>47</v>
      </c>
      <c r="D25" s="2" t="s">
        <v>51</v>
      </c>
      <c r="E25" s="2" t="s">
        <v>293</v>
      </c>
    </row>
    <row r="26" spans="1:5" ht="30" customHeight="1" x14ac:dyDescent="0.3">
      <c r="A26" s="2" t="s">
        <v>26</v>
      </c>
      <c r="B26" s="2" t="s">
        <v>294</v>
      </c>
      <c r="C26" s="2" t="s">
        <v>43</v>
      </c>
      <c r="D26" s="2" t="s">
        <v>176</v>
      </c>
      <c r="E26" s="2" t="s">
        <v>295</v>
      </c>
    </row>
    <row r="27" spans="1:5" ht="30" customHeight="1" x14ac:dyDescent="0.3">
      <c r="A27" s="2" t="s">
        <v>27</v>
      </c>
      <c r="B27" s="2" t="s">
        <v>296</v>
      </c>
      <c r="C27" s="2" t="s">
        <v>66</v>
      </c>
      <c r="D27" s="2" t="s">
        <v>69</v>
      </c>
      <c r="E27" s="2" t="s">
        <v>297</v>
      </c>
    </row>
    <row r="28" spans="1:5" ht="7.95" customHeight="1" x14ac:dyDescent="0.3">
      <c r="A28" t="s">
        <v>1</v>
      </c>
    </row>
  </sheetData>
  <mergeCells count="4">
    <mergeCell ref="A1:E1"/>
    <mergeCell ref="A2:E2"/>
    <mergeCell ref="A4:E4"/>
    <mergeCell ref="A20:E20"/>
  </mergeCells>
  <pageMargins left="0.25" right="0.25" top="0.5" bottom="0.5" header="0.3" footer="0.3"/>
  <pageSetup paperSize="9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8" customWidth="1"/>
    <col min="2" max="2" width="32" customWidth="1"/>
    <col min="3" max="3" width="20" customWidth="1"/>
    <col min="4" max="4" width="44" customWidth="1"/>
    <col min="5" max="5" width="64" customWidth="1"/>
  </cols>
  <sheetData>
    <row r="1" spans="1:5" ht="28.05" customHeight="1" x14ac:dyDescent="0.3">
      <c r="A1" s="6" t="s">
        <v>0</v>
      </c>
      <c r="B1" s="7"/>
      <c r="C1" s="7"/>
      <c r="D1" s="7"/>
      <c r="E1" s="7"/>
    </row>
    <row r="2" spans="1:5" ht="22.05" customHeight="1" x14ac:dyDescent="0.3">
      <c r="A2" s="8" t="s">
        <v>298</v>
      </c>
      <c r="B2" s="7"/>
      <c r="C2" s="7"/>
      <c r="D2" s="7"/>
      <c r="E2" s="7"/>
    </row>
    <row r="3" spans="1:5" ht="7.95" customHeight="1" x14ac:dyDescent="0.3">
      <c r="A3" t="s">
        <v>1</v>
      </c>
    </row>
    <row r="4" spans="1:5" ht="24" customHeight="1" x14ac:dyDescent="0.3">
      <c r="A4" s="8" t="s">
        <v>299</v>
      </c>
      <c r="B4" s="7"/>
      <c r="C4" s="7"/>
      <c r="D4" s="7"/>
      <c r="E4" s="7"/>
    </row>
    <row r="5" spans="1:5" ht="22.05" customHeight="1" x14ac:dyDescent="0.3">
      <c r="A5" s="1" t="s">
        <v>19</v>
      </c>
      <c r="B5" s="1" t="s">
        <v>38</v>
      </c>
      <c r="C5" s="1" t="s">
        <v>39</v>
      </c>
      <c r="D5" s="1" t="s">
        <v>40</v>
      </c>
      <c r="E5" s="1" t="s">
        <v>41</v>
      </c>
    </row>
    <row r="6" spans="1:5" ht="30" customHeight="1" x14ac:dyDescent="0.3">
      <c r="A6" s="2" t="s">
        <v>21</v>
      </c>
      <c r="B6" s="2" t="s">
        <v>42</v>
      </c>
      <c r="C6" s="2" t="s">
        <v>43</v>
      </c>
      <c r="D6" s="2" t="s">
        <v>44</v>
      </c>
      <c r="E6" s="2" t="s">
        <v>300</v>
      </c>
    </row>
    <row r="7" spans="1:5" ht="30" customHeight="1" x14ac:dyDescent="0.3">
      <c r="A7" s="2" t="s">
        <v>23</v>
      </c>
      <c r="B7" s="2" t="s">
        <v>103</v>
      </c>
      <c r="C7" s="2" t="s">
        <v>47</v>
      </c>
      <c r="D7" s="2" t="s">
        <v>51</v>
      </c>
      <c r="E7" s="2" t="s">
        <v>104</v>
      </c>
    </row>
    <row r="8" spans="1:5" ht="30" customHeight="1" x14ac:dyDescent="0.3">
      <c r="A8" s="2" t="s">
        <v>24</v>
      </c>
      <c r="B8" s="2" t="s">
        <v>105</v>
      </c>
      <c r="C8" s="2" t="s">
        <v>47</v>
      </c>
      <c r="D8" s="2" t="s">
        <v>48</v>
      </c>
      <c r="E8" s="2" t="s">
        <v>301</v>
      </c>
    </row>
    <row r="9" spans="1:5" ht="30" customHeight="1" x14ac:dyDescent="0.3">
      <c r="A9" s="2" t="s">
        <v>25</v>
      </c>
      <c r="B9" s="2" t="s">
        <v>113</v>
      </c>
      <c r="C9" s="2" t="s">
        <v>114</v>
      </c>
      <c r="D9" s="2" t="s">
        <v>115</v>
      </c>
      <c r="E9" s="2" t="s">
        <v>116</v>
      </c>
    </row>
    <row r="10" spans="1:5" ht="7.95" customHeight="1" x14ac:dyDescent="0.3">
      <c r="A10" t="s">
        <v>1</v>
      </c>
    </row>
    <row r="11" spans="1:5" ht="24" customHeight="1" x14ac:dyDescent="0.3">
      <c r="A11" s="8" t="s">
        <v>302</v>
      </c>
      <c r="B11" s="7"/>
      <c r="C11" s="7"/>
      <c r="D11" s="7"/>
      <c r="E11" s="7"/>
    </row>
    <row r="12" spans="1:5" ht="22.05" customHeight="1" x14ac:dyDescent="0.3">
      <c r="A12" s="1" t="s">
        <v>19</v>
      </c>
      <c r="B12" s="1" t="s">
        <v>38</v>
      </c>
      <c r="C12" s="1" t="s">
        <v>39</v>
      </c>
      <c r="D12" s="1" t="s">
        <v>40</v>
      </c>
      <c r="E12" s="1" t="s">
        <v>41</v>
      </c>
    </row>
    <row r="13" spans="1:5" ht="30" customHeight="1" x14ac:dyDescent="0.3">
      <c r="A13" s="2" t="s">
        <v>21</v>
      </c>
      <c r="B13" s="2" t="s">
        <v>42</v>
      </c>
      <c r="C13" s="2" t="s">
        <v>43</v>
      </c>
      <c r="D13" s="2" t="s">
        <v>44</v>
      </c>
      <c r="E13" s="2" t="s">
        <v>303</v>
      </c>
    </row>
    <row r="14" spans="1:5" ht="30" customHeight="1" x14ac:dyDescent="0.3">
      <c r="A14" s="2" t="s">
        <v>23</v>
      </c>
      <c r="B14" s="2" t="s">
        <v>103</v>
      </c>
      <c r="C14" s="2" t="s">
        <v>47</v>
      </c>
      <c r="D14" s="2" t="s">
        <v>51</v>
      </c>
      <c r="E14" s="2" t="s">
        <v>304</v>
      </c>
    </row>
    <row r="15" spans="1:5" ht="30" customHeight="1" x14ac:dyDescent="0.3">
      <c r="A15" s="2" t="s">
        <v>24</v>
      </c>
      <c r="B15" s="2" t="s">
        <v>119</v>
      </c>
      <c r="C15" s="2" t="s">
        <v>43</v>
      </c>
      <c r="D15" s="2" t="s">
        <v>305</v>
      </c>
      <c r="E15" s="2" t="s">
        <v>306</v>
      </c>
    </row>
    <row r="16" spans="1:5" ht="30" customHeight="1" x14ac:dyDescent="0.3">
      <c r="A16" s="2" t="s">
        <v>25</v>
      </c>
      <c r="B16" s="2" t="s">
        <v>60</v>
      </c>
      <c r="C16" s="2" t="s">
        <v>47</v>
      </c>
      <c r="D16" s="2" t="s">
        <v>61</v>
      </c>
      <c r="E16" s="2" t="s">
        <v>62</v>
      </c>
    </row>
    <row r="17" spans="1:5" ht="30" customHeight="1" x14ac:dyDescent="0.3">
      <c r="A17" s="2" t="s">
        <v>26</v>
      </c>
      <c r="B17" s="2" t="s">
        <v>46</v>
      </c>
      <c r="C17" s="2" t="s">
        <v>47</v>
      </c>
      <c r="D17" s="2" t="s">
        <v>61</v>
      </c>
      <c r="E17" s="2" t="s">
        <v>307</v>
      </c>
    </row>
    <row r="18" spans="1:5" ht="30" customHeight="1" x14ac:dyDescent="0.3">
      <c r="A18" s="2" t="s">
        <v>27</v>
      </c>
      <c r="B18" s="2" t="s">
        <v>308</v>
      </c>
      <c r="C18" s="2" t="s">
        <v>47</v>
      </c>
      <c r="D18" s="2" t="s">
        <v>61</v>
      </c>
      <c r="E18" s="2" t="s">
        <v>309</v>
      </c>
    </row>
    <row r="19" spans="1:5" ht="30" customHeight="1" x14ac:dyDescent="0.3">
      <c r="A19" s="2" t="s">
        <v>28</v>
      </c>
      <c r="B19" s="2" t="s">
        <v>82</v>
      </c>
      <c r="C19" s="2" t="s">
        <v>47</v>
      </c>
      <c r="D19" s="2" t="s">
        <v>51</v>
      </c>
      <c r="E19" s="2" t="s">
        <v>83</v>
      </c>
    </row>
    <row r="20" spans="1:5" ht="30" customHeight="1" x14ac:dyDescent="0.3">
      <c r="A20" s="2" t="s">
        <v>29</v>
      </c>
      <c r="B20" s="2" t="s">
        <v>310</v>
      </c>
      <c r="C20" s="2" t="s">
        <v>129</v>
      </c>
      <c r="D20" s="2" t="s">
        <v>61</v>
      </c>
      <c r="E20" s="2" t="s">
        <v>311</v>
      </c>
    </row>
    <row r="21" spans="1:5" ht="30" customHeight="1" x14ac:dyDescent="0.3">
      <c r="A21" s="2" t="s">
        <v>30</v>
      </c>
      <c r="B21" s="2" t="s">
        <v>55</v>
      </c>
      <c r="C21" s="2" t="s">
        <v>47</v>
      </c>
      <c r="D21" s="2" t="s">
        <v>56</v>
      </c>
      <c r="E21" s="2" t="s">
        <v>312</v>
      </c>
    </row>
    <row r="22" spans="1:5" ht="30" customHeight="1" x14ac:dyDescent="0.3">
      <c r="A22" s="2" t="s">
        <v>31</v>
      </c>
      <c r="B22" s="2" t="s">
        <v>205</v>
      </c>
      <c r="C22" s="2" t="s">
        <v>47</v>
      </c>
      <c r="D22" s="2" t="s">
        <v>61</v>
      </c>
      <c r="E22" s="2" t="s">
        <v>313</v>
      </c>
    </row>
    <row r="23" spans="1:5" ht="30" customHeight="1" x14ac:dyDescent="0.3">
      <c r="A23" s="2" t="s">
        <v>32</v>
      </c>
      <c r="B23" s="2" t="s">
        <v>68</v>
      </c>
      <c r="C23" s="2" t="s">
        <v>66</v>
      </c>
      <c r="D23" s="2" t="s">
        <v>69</v>
      </c>
      <c r="E23" s="2" t="s">
        <v>70</v>
      </c>
    </row>
    <row r="24" spans="1:5" ht="30" customHeight="1" x14ac:dyDescent="0.3">
      <c r="A24" s="2" t="s">
        <v>34</v>
      </c>
      <c r="B24" s="2" t="s">
        <v>71</v>
      </c>
      <c r="C24" s="2" t="s">
        <v>66</v>
      </c>
      <c r="D24" s="2" t="s">
        <v>72</v>
      </c>
      <c r="E24" s="2" t="s">
        <v>73</v>
      </c>
    </row>
    <row r="25" spans="1:5" ht="7.95" customHeight="1" x14ac:dyDescent="0.3">
      <c r="A25" t="s">
        <v>1</v>
      </c>
    </row>
    <row r="26" spans="1:5" ht="24" customHeight="1" x14ac:dyDescent="0.3">
      <c r="A26" s="8" t="s">
        <v>314</v>
      </c>
      <c r="B26" s="7"/>
      <c r="C26" s="7"/>
      <c r="D26" s="7"/>
      <c r="E26" s="7"/>
    </row>
    <row r="27" spans="1:5" ht="22.05" customHeight="1" x14ac:dyDescent="0.3">
      <c r="A27" s="1" t="s">
        <v>19</v>
      </c>
      <c r="B27" s="1" t="s">
        <v>38</v>
      </c>
      <c r="C27" s="1" t="s">
        <v>39</v>
      </c>
      <c r="D27" s="1" t="s">
        <v>40</v>
      </c>
      <c r="E27" s="1" t="s">
        <v>41</v>
      </c>
    </row>
    <row r="28" spans="1:5" ht="30" customHeight="1" x14ac:dyDescent="0.3">
      <c r="A28" s="2" t="s">
        <v>21</v>
      </c>
      <c r="B28" s="2" t="s">
        <v>42</v>
      </c>
      <c r="C28" s="2" t="s">
        <v>43</v>
      </c>
      <c r="D28" s="2" t="s">
        <v>44</v>
      </c>
      <c r="E28" s="2" t="s">
        <v>315</v>
      </c>
    </row>
    <row r="29" spans="1:5" ht="30" customHeight="1" x14ac:dyDescent="0.3">
      <c r="A29" s="2" t="s">
        <v>23</v>
      </c>
      <c r="B29" s="2" t="s">
        <v>159</v>
      </c>
      <c r="C29" s="2" t="s">
        <v>43</v>
      </c>
      <c r="D29" s="2" t="s">
        <v>252</v>
      </c>
      <c r="E29" s="2" t="s">
        <v>316</v>
      </c>
    </row>
    <row r="30" spans="1:5" ht="30" customHeight="1" x14ac:dyDescent="0.3">
      <c r="A30" s="2" t="s">
        <v>24</v>
      </c>
      <c r="B30" s="2" t="s">
        <v>317</v>
      </c>
      <c r="C30" s="2" t="s">
        <v>43</v>
      </c>
      <c r="D30" s="2" t="s">
        <v>318</v>
      </c>
      <c r="E30" s="2" t="s">
        <v>319</v>
      </c>
    </row>
    <row r="31" spans="1:5" ht="30" customHeight="1" x14ac:dyDescent="0.3">
      <c r="A31" s="2" t="s">
        <v>25</v>
      </c>
      <c r="B31" s="2" t="s">
        <v>320</v>
      </c>
      <c r="C31" s="2" t="s">
        <v>47</v>
      </c>
      <c r="D31" s="2" t="s">
        <v>61</v>
      </c>
      <c r="E31" s="2" t="s">
        <v>321</v>
      </c>
    </row>
    <row r="32" spans="1:5" ht="30" customHeight="1" x14ac:dyDescent="0.3">
      <c r="A32" s="2" t="s">
        <v>26</v>
      </c>
      <c r="B32" s="2" t="s">
        <v>322</v>
      </c>
      <c r="C32" s="2" t="s">
        <v>129</v>
      </c>
      <c r="D32" s="2" t="s">
        <v>61</v>
      </c>
      <c r="E32" s="2" t="s">
        <v>323</v>
      </c>
    </row>
    <row r="33" spans="1:5" ht="30" customHeight="1" x14ac:dyDescent="0.3">
      <c r="A33" s="2" t="s">
        <v>27</v>
      </c>
      <c r="B33" s="2" t="s">
        <v>55</v>
      </c>
      <c r="C33" s="2" t="s">
        <v>47</v>
      </c>
      <c r="D33" s="2" t="s">
        <v>56</v>
      </c>
      <c r="E33" s="2" t="s">
        <v>324</v>
      </c>
    </row>
    <row r="34" spans="1:5" ht="30" customHeight="1" x14ac:dyDescent="0.3">
      <c r="A34" s="2" t="s">
        <v>28</v>
      </c>
      <c r="B34" s="2" t="s">
        <v>68</v>
      </c>
      <c r="C34" s="2" t="s">
        <v>66</v>
      </c>
      <c r="D34" s="2" t="s">
        <v>69</v>
      </c>
      <c r="E34" s="2" t="s">
        <v>70</v>
      </c>
    </row>
    <row r="35" spans="1:5" ht="7.95" customHeight="1" x14ac:dyDescent="0.3">
      <c r="A35" t="s">
        <v>1</v>
      </c>
    </row>
    <row r="36" spans="1:5" ht="24" customHeight="1" x14ac:dyDescent="0.3">
      <c r="A36" s="8" t="s">
        <v>325</v>
      </c>
      <c r="B36" s="7"/>
      <c r="C36" s="7"/>
      <c r="D36" s="7"/>
      <c r="E36" s="7"/>
    </row>
    <row r="37" spans="1:5" ht="22.05" customHeight="1" x14ac:dyDescent="0.3">
      <c r="A37" s="1" t="s">
        <v>19</v>
      </c>
      <c r="B37" s="1" t="s">
        <v>38</v>
      </c>
      <c r="C37" s="1" t="s">
        <v>39</v>
      </c>
      <c r="D37" s="1" t="s">
        <v>40</v>
      </c>
      <c r="E37" s="1" t="s">
        <v>41</v>
      </c>
    </row>
    <row r="38" spans="1:5" ht="30" customHeight="1" x14ac:dyDescent="0.3">
      <c r="A38" s="2" t="s">
        <v>21</v>
      </c>
      <c r="B38" s="2" t="s">
        <v>42</v>
      </c>
      <c r="C38" s="2" t="s">
        <v>43</v>
      </c>
      <c r="D38" s="2" t="s">
        <v>44</v>
      </c>
      <c r="E38" s="2" t="s">
        <v>326</v>
      </c>
    </row>
    <row r="39" spans="1:5" ht="30" customHeight="1" x14ac:dyDescent="0.3">
      <c r="A39" s="2" t="s">
        <v>23</v>
      </c>
      <c r="B39" s="2" t="s">
        <v>327</v>
      </c>
      <c r="C39" s="2" t="s">
        <v>43</v>
      </c>
      <c r="D39" s="2" t="s">
        <v>176</v>
      </c>
      <c r="E39" s="2" t="s">
        <v>328</v>
      </c>
    </row>
    <row r="40" spans="1:5" ht="30" customHeight="1" x14ac:dyDescent="0.3">
      <c r="A40" s="2" t="s">
        <v>24</v>
      </c>
      <c r="B40" s="2" t="s">
        <v>329</v>
      </c>
      <c r="C40" s="2" t="s">
        <v>66</v>
      </c>
      <c r="D40" s="2" t="s">
        <v>51</v>
      </c>
      <c r="E40" s="2" t="s">
        <v>330</v>
      </c>
    </row>
    <row r="41" spans="1:5" ht="30" customHeight="1" x14ac:dyDescent="0.3">
      <c r="A41" s="2" t="s">
        <v>25</v>
      </c>
      <c r="B41" s="2" t="s">
        <v>331</v>
      </c>
      <c r="C41" s="2" t="s">
        <v>47</v>
      </c>
      <c r="D41" s="2" t="s">
        <v>51</v>
      </c>
      <c r="E41" s="2" t="s">
        <v>332</v>
      </c>
    </row>
    <row r="42" spans="1:5" ht="30" customHeight="1" x14ac:dyDescent="0.3">
      <c r="A42" s="2" t="s">
        <v>26</v>
      </c>
      <c r="B42" s="2" t="s">
        <v>333</v>
      </c>
      <c r="C42" s="2" t="s">
        <v>47</v>
      </c>
      <c r="D42" s="2" t="s">
        <v>51</v>
      </c>
      <c r="E42" s="2" t="s">
        <v>334</v>
      </c>
    </row>
    <row r="43" spans="1:5" ht="30" customHeight="1" x14ac:dyDescent="0.3">
      <c r="A43" s="2" t="s">
        <v>27</v>
      </c>
      <c r="B43" s="2" t="s">
        <v>159</v>
      </c>
      <c r="C43" s="2" t="s">
        <v>43</v>
      </c>
      <c r="D43" s="2" t="s">
        <v>160</v>
      </c>
      <c r="E43" s="2" t="s">
        <v>253</v>
      </c>
    </row>
    <row r="44" spans="1:5" ht="30" customHeight="1" x14ac:dyDescent="0.3">
      <c r="A44" s="2" t="s">
        <v>28</v>
      </c>
      <c r="B44" s="2" t="s">
        <v>205</v>
      </c>
      <c r="C44" s="2" t="s">
        <v>47</v>
      </c>
      <c r="D44" s="2" t="s">
        <v>61</v>
      </c>
      <c r="E44" s="2" t="s">
        <v>335</v>
      </c>
    </row>
    <row r="45" spans="1:5" ht="30" customHeight="1" x14ac:dyDescent="0.3">
      <c r="A45" s="2" t="s">
        <v>29</v>
      </c>
      <c r="B45" s="2" t="s">
        <v>68</v>
      </c>
      <c r="C45" s="2" t="s">
        <v>66</v>
      </c>
      <c r="D45" s="2" t="s">
        <v>69</v>
      </c>
      <c r="E45" s="2" t="s">
        <v>70</v>
      </c>
    </row>
    <row r="46" spans="1:5" ht="30" customHeight="1" x14ac:dyDescent="0.3">
      <c r="A46" s="2" t="s">
        <v>30</v>
      </c>
      <c r="B46" s="2" t="s">
        <v>71</v>
      </c>
      <c r="C46" s="2" t="s">
        <v>66</v>
      </c>
      <c r="D46" s="2" t="s">
        <v>72</v>
      </c>
      <c r="E46" s="2" t="s">
        <v>73</v>
      </c>
    </row>
    <row r="47" spans="1:5" ht="7.95" customHeight="1" x14ac:dyDescent="0.3">
      <c r="A47" t="s">
        <v>1</v>
      </c>
    </row>
    <row r="48" spans="1:5" ht="24" customHeight="1" x14ac:dyDescent="0.3">
      <c r="A48" s="8" t="s">
        <v>336</v>
      </c>
      <c r="B48" s="7"/>
      <c r="C48" s="7"/>
      <c r="D48" s="7"/>
      <c r="E48" s="7"/>
    </row>
    <row r="49" spans="1:5" ht="22.05" customHeight="1" x14ac:dyDescent="0.3">
      <c r="A49" s="1" t="s">
        <v>19</v>
      </c>
      <c r="B49" s="1" t="s">
        <v>38</v>
      </c>
      <c r="C49" s="1" t="s">
        <v>39</v>
      </c>
      <c r="D49" s="1" t="s">
        <v>40</v>
      </c>
      <c r="E49" s="1" t="s">
        <v>41</v>
      </c>
    </row>
    <row r="50" spans="1:5" ht="30" customHeight="1" x14ac:dyDescent="0.3">
      <c r="A50" s="2" t="s">
        <v>21</v>
      </c>
      <c r="B50" s="2" t="s">
        <v>42</v>
      </c>
      <c r="C50" s="2" t="s">
        <v>43</v>
      </c>
      <c r="D50" s="2" t="s">
        <v>44</v>
      </c>
      <c r="E50" s="2" t="s">
        <v>337</v>
      </c>
    </row>
    <row r="51" spans="1:5" ht="30" customHeight="1" x14ac:dyDescent="0.3">
      <c r="A51" s="2" t="s">
        <v>23</v>
      </c>
      <c r="B51" s="2" t="s">
        <v>159</v>
      </c>
      <c r="C51" s="2" t="s">
        <v>43</v>
      </c>
      <c r="D51" s="2" t="s">
        <v>252</v>
      </c>
      <c r="E51" s="2" t="s">
        <v>338</v>
      </c>
    </row>
    <row r="52" spans="1:5" ht="30" customHeight="1" x14ac:dyDescent="0.3">
      <c r="A52" s="2" t="s">
        <v>24</v>
      </c>
      <c r="B52" s="2" t="s">
        <v>327</v>
      </c>
      <c r="C52" s="2" t="s">
        <v>43</v>
      </c>
      <c r="D52" s="2" t="s">
        <v>176</v>
      </c>
      <c r="E52" s="2" t="s">
        <v>339</v>
      </c>
    </row>
    <row r="53" spans="1:5" ht="30" customHeight="1" x14ac:dyDescent="0.3">
      <c r="A53" s="2" t="s">
        <v>25</v>
      </c>
      <c r="B53" s="2" t="s">
        <v>185</v>
      </c>
      <c r="C53" s="2" t="s">
        <v>47</v>
      </c>
      <c r="D53" s="2" t="s">
        <v>51</v>
      </c>
      <c r="E53" s="2" t="s">
        <v>340</v>
      </c>
    </row>
    <row r="54" spans="1:5" ht="30" customHeight="1" x14ac:dyDescent="0.3">
      <c r="A54" s="2" t="s">
        <v>26</v>
      </c>
      <c r="B54" s="2" t="s">
        <v>55</v>
      </c>
      <c r="C54" s="2" t="s">
        <v>47</v>
      </c>
      <c r="D54" s="2" t="s">
        <v>341</v>
      </c>
      <c r="E54" s="2" t="s">
        <v>342</v>
      </c>
    </row>
    <row r="55" spans="1:5" ht="30" customHeight="1" x14ac:dyDescent="0.3">
      <c r="A55" s="2" t="s">
        <v>27</v>
      </c>
      <c r="B55" s="2" t="s">
        <v>343</v>
      </c>
      <c r="C55" s="2" t="s">
        <v>66</v>
      </c>
      <c r="D55" s="2" t="s">
        <v>69</v>
      </c>
      <c r="E55" s="2" t="s">
        <v>344</v>
      </c>
    </row>
    <row r="56" spans="1:5" ht="7.95" customHeight="1" x14ac:dyDescent="0.3">
      <c r="A56" t="s">
        <v>1</v>
      </c>
    </row>
  </sheetData>
  <mergeCells count="7">
    <mergeCell ref="A36:E36"/>
    <mergeCell ref="A48:E48"/>
    <mergeCell ref="A1:E1"/>
    <mergeCell ref="A2:E2"/>
    <mergeCell ref="A4:E4"/>
    <mergeCell ref="A11:E11"/>
    <mergeCell ref="A26:E26"/>
  </mergeCells>
  <pageMargins left="0.25" right="0.25" top="0.5" bottom="0.5" header="0.3" footer="0.3"/>
  <pageSetup paperSize="9"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7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8" customWidth="1"/>
    <col min="2" max="2" width="32" customWidth="1"/>
    <col min="3" max="3" width="20" customWidth="1"/>
    <col min="4" max="4" width="44" customWidth="1"/>
    <col min="5" max="5" width="64" customWidth="1"/>
  </cols>
  <sheetData>
    <row r="1" spans="1:5" ht="28.05" customHeight="1" x14ac:dyDescent="0.3">
      <c r="A1" s="6" t="s">
        <v>0</v>
      </c>
      <c r="B1" s="7"/>
      <c r="C1" s="7"/>
      <c r="D1" s="7"/>
      <c r="E1" s="7"/>
    </row>
    <row r="2" spans="1:5" ht="22.05" customHeight="1" x14ac:dyDescent="0.3">
      <c r="A2" s="8" t="s">
        <v>345</v>
      </c>
      <c r="B2" s="7"/>
      <c r="C2" s="7"/>
      <c r="D2" s="7"/>
      <c r="E2" s="7"/>
    </row>
    <row r="3" spans="1:5" ht="7.95" customHeight="1" x14ac:dyDescent="0.3">
      <c r="A3" t="s">
        <v>1</v>
      </c>
    </row>
    <row r="4" spans="1:5" ht="24" customHeight="1" x14ac:dyDescent="0.3">
      <c r="A4" s="8" t="s">
        <v>346</v>
      </c>
      <c r="B4" s="7"/>
      <c r="C4" s="7"/>
      <c r="D4" s="7"/>
      <c r="E4" s="7"/>
    </row>
    <row r="5" spans="1:5" ht="22.05" customHeight="1" x14ac:dyDescent="0.3">
      <c r="A5" s="1" t="s">
        <v>19</v>
      </c>
      <c r="B5" s="1" t="s">
        <v>38</v>
      </c>
      <c r="C5" s="1" t="s">
        <v>39</v>
      </c>
      <c r="D5" s="1" t="s">
        <v>40</v>
      </c>
      <c r="E5" s="1" t="s">
        <v>41</v>
      </c>
    </row>
    <row r="6" spans="1:5" ht="30" customHeight="1" x14ac:dyDescent="0.3">
      <c r="A6" s="2" t="s">
        <v>21</v>
      </c>
      <c r="B6" s="2" t="s">
        <v>42</v>
      </c>
      <c r="C6" s="2" t="s">
        <v>43</v>
      </c>
      <c r="D6" s="2" t="s">
        <v>44</v>
      </c>
      <c r="E6" s="2" t="s">
        <v>347</v>
      </c>
    </row>
    <row r="7" spans="1:5" ht="30" customHeight="1" x14ac:dyDescent="0.3">
      <c r="A7" s="2" t="s">
        <v>23</v>
      </c>
      <c r="B7" s="2" t="s">
        <v>348</v>
      </c>
      <c r="C7" s="2" t="s">
        <v>47</v>
      </c>
      <c r="D7" s="2" t="s">
        <v>48</v>
      </c>
      <c r="E7" s="2" t="s">
        <v>349</v>
      </c>
    </row>
    <row r="8" spans="1:5" ht="30" customHeight="1" x14ac:dyDescent="0.3">
      <c r="A8" s="2" t="s">
        <v>24</v>
      </c>
      <c r="B8" s="2" t="s">
        <v>159</v>
      </c>
      <c r="C8" s="2" t="s">
        <v>43</v>
      </c>
      <c r="D8" s="2" t="s">
        <v>252</v>
      </c>
      <c r="E8" s="2" t="s">
        <v>350</v>
      </c>
    </row>
    <row r="9" spans="1:5" ht="30" customHeight="1" x14ac:dyDescent="0.3">
      <c r="A9" s="2" t="s">
        <v>25</v>
      </c>
      <c r="B9" s="2" t="s">
        <v>211</v>
      </c>
      <c r="C9" s="2" t="s">
        <v>43</v>
      </c>
      <c r="D9" s="2" t="s">
        <v>176</v>
      </c>
      <c r="E9" s="2" t="s">
        <v>351</v>
      </c>
    </row>
    <row r="10" spans="1:5" ht="30" customHeight="1" x14ac:dyDescent="0.3">
      <c r="A10" s="2" t="s">
        <v>26</v>
      </c>
      <c r="B10" s="2" t="s">
        <v>55</v>
      </c>
      <c r="C10" s="2" t="s">
        <v>47</v>
      </c>
      <c r="D10" s="2" t="s">
        <v>173</v>
      </c>
      <c r="E10" s="2" t="s">
        <v>352</v>
      </c>
    </row>
    <row r="11" spans="1:5" ht="30" customHeight="1" x14ac:dyDescent="0.3">
      <c r="A11" s="2" t="s">
        <v>27</v>
      </c>
      <c r="B11" s="2" t="s">
        <v>353</v>
      </c>
      <c r="C11" s="2" t="s">
        <v>47</v>
      </c>
      <c r="D11" s="2" t="s">
        <v>51</v>
      </c>
      <c r="E11" s="2" t="s">
        <v>354</v>
      </c>
    </row>
    <row r="12" spans="1:5" ht="30" customHeight="1" x14ac:dyDescent="0.3">
      <c r="A12" s="2" t="s">
        <v>28</v>
      </c>
      <c r="B12" s="2" t="s">
        <v>355</v>
      </c>
      <c r="C12" s="2" t="s">
        <v>66</v>
      </c>
      <c r="D12" s="2" t="s">
        <v>61</v>
      </c>
      <c r="E12" s="2" t="s">
        <v>356</v>
      </c>
    </row>
    <row r="13" spans="1:5" ht="30" customHeight="1" x14ac:dyDescent="0.3">
      <c r="A13" s="2" t="s">
        <v>29</v>
      </c>
      <c r="B13" s="2" t="s">
        <v>357</v>
      </c>
      <c r="C13" s="2" t="s">
        <v>66</v>
      </c>
      <c r="D13" s="2" t="s">
        <v>61</v>
      </c>
      <c r="E13" s="2" t="s">
        <v>358</v>
      </c>
    </row>
    <row r="14" spans="1:5" ht="30" customHeight="1" x14ac:dyDescent="0.3">
      <c r="A14" s="2" t="s">
        <v>30</v>
      </c>
      <c r="B14" s="2" t="s">
        <v>359</v>
      </c>
      <c r="C14" s="2" t="s">
        <v>129</v>
      </c>
      <c r="D14" s="2" t="s">
        <v>51</v>
      </c>
      <c r="E14" s="2" t="s">
        <v>360</v>
      </c>
    </row>
    <row r="15" spans="1:5" ht="30" customHeight="1" x14ac:dyDescent="0.3">
      <c r="A15" s="2" t="s">
        <v>31</v>
      </c>
      <c r="B15" s="2" t="s">
        <v>175</v>
      </c>
      <c r="C15" s="2" t="s">
        <v>43</v>
      </c>
      <c r="D15" s="2" t="s">
        <v>176</v>
      </c>
      <c r="E15" s="2" t="s">
        <v>361</v>
      </c>
    </row>
    <row r="16" spans="1:5" ht="30" customHeight="1" x14ac:dyDescent="0.3">
      <c r="A16" s="2" t="s">
        <v>32</v>
      </c>
      <c r="B16" s="2" t="s">
        <v>68</v>
      </c>
      <c r="C16" s="2" t="s">
        <v>66</v>
      </c>
      <c r="D16" s="2" t="s">
        <v>69</v>
      </c>
      <c r="E16" s="2" t="s">
        <v>70</v>
      </c>
    </row>
    <row r="17" spans="1:5" ht="30" customHeight="1" x14ac:dyDescent="0.3">
      <c r="A17" s="2" t="s">
        <v>34</v>
      </c>
      <c r="B17" s="2" t="s">
        <v>71</v>
      </c>
      <c r="C17" s="2" t="s">
        <v>66</v>
      </c>
      <c r="D17" s="2" t="s">
        <v>72</v>
      </c>
      <c r="E17" s="2" t="s">
        <v>73</v>
      </c>
    </row>
    <row r="18" spans="1:5" ht="7.95" customHeight="1" x14ac:dyDescent="0.3">
      <c r="A18" t="s">
        <v>1</v>
      </c>
    </row>
    <row r="19" spans="1:5" ht="24" customHeight="1" x14ac:dyDescent="0.3">
      <c r="A19" s="8" t="s">
        <v>362</v>
      </c>
      <c r="B19" s="7"/>
      <c r="C19" s="7"/>
      <c r="D19" s="7"/>
      <c r="E19" s="7"/>
    </row>
    <row r="20" spans="1:5" ht="22.05" customHeight="1" x14ac:dyDescent="0.3">
      <c r="A20" s="1" t="s">
        <v>19</v>
      </c>
      <c r="B20" s="1" t="s">
        <v>38</v>
      </c>
      <c r="C20" s="1" t="s">
        <v>39</v>
      </c>
      <c r="D20" s="1" t="s">
        <v>40</v>
      </c>
      <c r="E20" s="1" t="s">
        <v>41</v>
      </c>
    </row>
    <row r="21" spans="1:5" ht="30" customHeight="1" x14ac:dyDescent="0.3">
      <c r="A21" s="2" t="s">
        <v>21</v>
      </c>
      <c r="B21" s="2" t="s">
        <v>42</v>
      </c>
      <c r="C21" s="2" t="s">
        <v>43</v>
      </c>
      <c r="D21" s="2" t="s">
        <v>44</v>
      </c>
      <c r="E21" s="2" t="s">
        <v>363</v>
      </c>
    </row>
    <row r="22" spans="1:5" ht="30" customHeight="1" x14ac:dyDescent="0.3">
      <c r="A22" s="2" t="s">
        <v>23</v>
      </c>
      <c r="B22" s="2" t="s">
        <v>364</v>
      </c>
      <c r="C22" s="2" t="s">
        <v>43</v>
      </c>
      <c r="D22" s="2" t="s">
        <v>365</v>
      </c>
      <c r="E22" s="2" t="s">
        <v>366</v>
      </c>
    </row>
    <row r="23" spans="1:5" ht="30" customHeight="1" x14ac:dyDescent="0.3">
      <c r="A23" s="2" t="s">
        <v>24</v>
      </c>
      <c r="B23" s="2" t="s">
        <v>367</v>
      </c>
      <c r="C23" s="2" t="s">
        <v>47</v>
      </c>
      <c r="D23" s="2" t="s">
        <v>51</v>
      </c>
      <c r="E23" s="2" t="s">
        <v>368</v>
      </c>
    </row>
    <row r="24" spans="1:5" ht="30" customHeight="1" x14ac:dyDescent="0.3">
      <c r="A24" s="2" t="s">
        <v>25</v>
      </c>
      <c r="B24" s="2" t="s">
        <v>369</v>
      </c>
      <c r="C24" s="2" t="s">
        <v>47</v>
      </c>
      <c r="D24" s="2" t="s">
        <v>51</v>
      </c>
      <c r="E24" s="2" t="s">
        <v>370</v>
      </c>
    </row>
    <row r="25" spans="1:5" ht="30" customHeight="1" x14ac:dyDescent="0.3">
      <c r="A25" s="2" t="s">
        <v>26</v>
      </c>
      <c r="B25" s="2" t="s">
        <v>371</v>
      </c>
      <c r="C25" s="2" t="s">
        <v>47</v>
      </c>
      <c r="D25" s="2" t="s">
        <v>51</v>
      </c>
      <c r="E25" s="2" t="s">
        <v>372</v>
      </c>
    </row>
    <row r="26" spans="1:5" ht="30" customHeight="1" x14ac:dyDescent="0.3">
      <c r="A26" s="2" t="s">
        <v>27</v>
      </c>
      <c r="B26" s="2" t="s">
        <v>373</v>
      </c>
      <c r="C26" s="2" t="s">
        <v>47</v>
      </c>
      <c r="D26" s="2" t="s">
        <v>51</v>
      </c>
      <c r="E26" s="2" t="s">
        <v>374</v>
      </c>
    </row>
    <row r="27" spans="1:5" ht="30" customHeight="1" x14ac:dyDescent="0.3">
      <c r="A27" s="2" t="s">
        <v>28</v>
      </c>
      <c r="B27" s="2" t="s">
        <v>375</v>
      </c>
      <c r="C27" s="2" t="s">
        <v>47</v>
      </c>
      <c r="D27" s="2" t="s">
        <v>61</v>
      </c>
      <c r="E27" s="2" t="s">
        <v>376</v>
      </c>
    </row>
    <row r="28" spans="1:5" ht="30" customHeight="1" x14ac:dyDescent="0.3">
      <c r="A28" s="2" t="s">
        <v>29</v>
      </c>
      <c r="B28" s="2" t="s">
        <v>175</v>
      </c>
      <c r="C28" s="2" t="s">
        <v>43</v>
      </c>
      <c r="D28" s="2" t="s">
        <v>51</v>
      </c>
      <c r="E28" s="2" t="s">
        <v>377</v>
      </c>
    </row>
    <row r="29" spans="1:5" ht="30" customHeight="1" x14ac:dyDescent="0.3">
      <c r="A29" s="2" t="s">
        <v>30</v>
      </c>
      <c r="B29" s="2" t="s">
        <v>68</v>
      </c>
      <c r="C29" s="2" t="s">
        <v>66</v>
      </c>
      <c r="D29" s="2" t="s">
        <v>69</v>
      </c>
      <c r="E29" s="2" t="s">
        <v>70</v>
      </c>
    </row>
    <row r="30" spans="1:5" ht="7.95" customHeight="1" x14ac:dyDescent="0.3">
      <c r="A30" t="s">
        <v>1</v>
      </c>
    </row>
    <row r="31" spans="1:5" ht="24" customHeight="1" x14ac:dyDescent="0.3">
      <c r="A31" s="8" t="s">
        <v>378</v>
      </c>
      <c r="B31" s="7"/>
      <c r="C31" s="7"/>
      <c r="D31" s="7"/>
      <c r="E31" s="7"/>
    </row>
    <row r="32" spans="1:5" ht="22.05" customHeight="1" x14ac:dyDescent="0.3">
      <c r="A32" s="1" t="s">
        <v>19</v>
      </c>
      <c r="B32" s="1" t="s">
        <v>38</v>
      </c>
      <c r="C32" s="1" t="s">
        <v>39</v>
      </c>
      <c r="D32" s="1" t="s">
        <v>40</v>
      </c>
      <c r="E32" s="1" t="s">
        <v>41</v>
      </c>
    </row>
    <row r="33" spans="1:5" ht="30" customHeight="1" x14ac:dyDescent="0.3">
      <c r="A33" s="2" t="s">
        <v>21</v>
      </c>
      <c r="B33" s="2" t="s">
        <v>42</v>
      </c>
      <c r="C33" s="2" t="s">
        <v>43</v>
      </c>
      <c r="D33" s="2" t="s">
        <v>44</v>
      </c>
      <c r="E33" s="2" t="s">
        <v>379</v>
      </c>
    </row>
    <row r="34" spans="1:5" ht="30" customHeight="1" x14ac:dyDescent="0.3">
      <c r="A34" s="2" t="s">
        <v>23</v>
      </c>
      <c r="B34" s="2" t="s">
        <v>159</v>
      </c>
      <c r="C34" s="2" t="s">
        <v>43</v>
      </c>
      <c r="D34" s="2" t="s">
        <v>160</v>
      </c>
      <c r="E34" s="2" t="s">
        <v>253</v>
      </c>
    </row>
    <row r="35" spans="1:5" ht="30" customHeight="1" x14ac:dyDescent="0.3">
      <c r="A35" s="2" t="s">
        <v>24</v>
      </c>
      <c r="B35" s="2" t="s">
        <v>364</v>
      </c>
      <c r="C35" s="2" t="s">
        <v>43</v>
      </c>
      <c r="D35" s="2" t="s">
        <v>380</v>
      </c>
      <c r="E35" s="2" t="s">
        <v>381</v>
      </c>
    </row>
    <row r="36" spans="1:5" ht="30" customHeight="1" x14ac:dyDescent="0.3">
      <c r="A36" s="2" t="s">
        <v>25</v>
      </c>
      <c r="B36" s="2" t="s">
        <v>382</v>
      </c>
      <c r="C36" s="2" t="s">
        <v>43</v>
      </c>
      <c r="D36" s="2" t="s">
        <v>179</v>
      </c>
      <c r="E36" s="2" t="s">
        <v>383</v>
      </c>
    </row>
    <row r="37" spans="1:5" ht="30" customHeight="1" x14ac:dyDescent="0.3">
      <c r="A37" s="2" t="s">
        <v>26</v>
      </c>
      <c r="B37" s="2" t="s">
        <v>103</v>
      </c>
      <c r="C37" s="2" t="s">
        <v>47</v>
      </c>
      <c r="D37" s="2" t="s">
        <v>51</v>
      </c>
      <c r="E37" s="2" t="s">
        <v>384</v>
      </c>
    </row>
    <row r="38" spans="1:5" ht="30" customHeight="1" x14ac:dyDescent="0.3">
      <c r="A38" s="2" t="s">
        <v>27</v>
      </c>
      <c r="B38" s="2" t="s">
        <v>385</v>
      </c>
      <c r="C38" s="2" t="s">
        <v>47</v>
      </c>
      <c r="D38" s="2" t="s">
        <v>51</v>
      </c>
      <c r="E38" s="2" t="s">
        <v>386</v>
      </c>
    </row>
    <row r="39" spans="1:5" ht="30" customHeight="1" x14ac:dyDescent="0.3">
      <c r="A39" s="2" t="s">
        <v>28</v>
      </c>
      <c r="B39" s="2" t="s">
        <v>387</v>
      </c>
      <c r="C39" s="2" t="s">
        <v>47</v>
      </c>
      <c r="D39" s="2" t="s">
        <v>51</v>
      </c>
      <c r="E39" s="2" t="s">
        <v>388</v>
      </c>
    </row>
    <row r="40" spans="1:5" ht="30" customHeight="1" x14ac:dyDescent="0.3">
      <c r="A40" s="2" t="s">
        <v>29</v>
      </c>
      <c r="B40" s="2" t="s">
        <v>55</v>
      </c>
      <c r="C40" s="2" t="s">
        <v>47</v>
      </c>
      <c r="D40" s="2" t="s">
        <v>389</v>
      </c>
      <c r="E40" s="2" t="s">
        <v>390</v>
      </c>
    </row>
    <row r="41" spans="1:5" ht="30" customHeight="1" x14ac:dyDescent="0.3">
      <c r="A41" s="2" t="s">
        <v>30</v>
      </c>
      <c r="B41" s="2" t="s">
        <v>68</v>
      </c>
      <c r="C41" s="2" t="s">
        <v>66</v>
      </c>
      <c r="D41" s="2" t="s">
        <v>69</v>
      </c>
      <c r="E41" s="2" t="s">
        <v>70</v>
      </c>
    </row>
    <row r="42" spans="1:5" ht="7.95" customHeight="1" x14ac:dyDescent="0.3">
      <c r="A42" t="s">
        <v>1</v>
      </c>
    </row>
    <row r="43" spans="1:5" ht="24" customHeight="1" x14ac:dyDescent="0.3">
      <c r="A43" s="8" t="s">
        <v>391</v>
      </c>
      <c r="B43" s="7"/>
      <c r="C43" s="7"/>
      <c r="D43" s="7"/>
      <c r="E43" s="7"/>
    </row>
    <row r="44" spans="1:5" ht="22.05" customHeight="1" x14ac:dyDescent="0.3">
      <c r="A44" s="1" t="s">
        <v>19</v>
      </c>
      <c r="B44" s="1" t="s">
        <v>38</v>
      </c>
      <c r="C44" s="1" t="s">
        <v>39</v>
      </c>
      <c r="D44" s="1" t="s">
        <v>40</v>
      </c>
      <c r="E44" s="1" t="s">
        <v>41</v>
      </c>
    </row>
    <row r="45" spans="1:5" ht="30" customHeight="1" x14ac:dyDescent="0.3">
      <c r="A45" s="2" t="s">
        <v>21</v>
      </c>
      <c r="B45" s="2" t="s">
        <v>42</v>
      </c>
      <c r="C45" s="2" t="s">
        <v>43</v>
      </c>
      <c r="D45" s="2" t="s">
        <v>44</v>
      </c>
      <c r="E45" s="2" t="s">
        <v>392</v>
      </c>
    </row>
    <row r="46" spans="1:5" ht="30" customHeight="1" x14ac:dyDescent="0.3">
      <c r="A46" s="2" t="s">
        <v>23</v>
      </c>
      <c r="B46" s="2" t="s">
        <v>159</v>
      </c>
      <c r="C46" s="2" t="s">
        <v>43</v>
      </c>
      <c r="D46" s="2" t="s">
        <v>160</v>
      </c>
      <c r="E46" s="2" t="s">
        <v>253</v>
      </c>
    </row>
    <row r="47" spans="1:5" ht="30" customHeight="1" x14ac:dyDescent="0.3">
      <c r="A47" s="2" t="s">
        <v>24</v>
      </c>
      <c r="B47" s="2" t="s">
        <v>364</v>
      </c>
      <c r="C47" s="2" t="s">
        <v>43</v>
      </c>
      <c r="D47" s="2" t="s">
        <v>380</v>
      </c>
      <c r="E47" s="2" t="s">
        <v>381</v>
      </c>
    </row>
    <row r="48" spans="1:5" ht="30" customHeight="1" x14ac:dyDescent="0.3">
      <c r="A48" s="2" t="s">
        <v>25</v>
      </c>
      <c r="B48" s="2" t="s">
        <v>107</v>
      </c>
      <c r="C48" s="2" t="s">
        <v>47</v>
      </c>
      <c r="D48" s="2" t="s">
        <v>51</v>
      </c>
      <c r="E48" s="2" t="s">
        <v>393</v>
      </c>
    </row>
    <row r="49" spans="1:5" ht="30" customHeight="1" x14ac:dyDescent="0.3">
      <c r="A49" s="2" t="s">
        <v>26</v>
      </c>
      <c r="B49" s="2" t="s">
        <v>394</v>
      </c>
      <c r="C49" s="2" t="s">
        <v>129</v>
      </c>
      <c r="D49" s="2" t="s">
        <v>51</v>
      </c>
      <c r="E49" s="2" t="s">
        <v>395</v>
      </c>
    </row>
    <row r="50" spans="1:5" ht="30" customHeight="1" x14ac:dyDescent="0.3">
      <c r="A50" s="2" t="s">
        <v>27</v>
      </c>
      <c r="B50" s="2" t="s">
        <v>396</v>
      </c>
      <c r="C50" s="2" t="s">
        <v>66</v>
      </c>
      <c r="D50" s="2" t="s">
        <v>51</v>
      </c>
      <c r="E50" s="2" t="s">
        <v>397</v>
      </c>
    </row>
    <row r="51" spans="1:5" ht="30" customHeight="1" x14ac:dyDescent="0.3">
      <c r="A51" s="2" t="s">
        <v>28</v>
      </c>
      <c r="B51" s="2" t="s">
        <v>398</v>
      </c>
      <c r="C51" s="2" t="s">
        <v>47</v>
      </c>
      <c r="D51" s="2" t="s">
        <v>61</v>
      </c>
      <c r="E51" s="2" t="s">
        <v>399</v>
      </c>
    </row>
    <row r="52" spans="1:5" ht="30" customHeight="1" x14ac:dyDescent="0.3">
      <c r="A52" s="2" t="s">
        <v>29</v>
      </c>
      <c r="B52" s="2" t="s">
        <v>55</v>
      </c>
      <c r="C52" s="2" t="s">
        <v>47</v>
      </c>
      <c r="D52" s="2" t="s">
        <v>389</v>
      </c>
      <c r="E52" s="2" t="s">
        <v>400</v>
      </c>
    </row>
    <row r="53" spans="1:5" ht="30" customHeight="1" x14ac:dyDescent="0.3">
      <c r="A53" s="2" t="s">
        <v>30</v>
      </c>
      <c r="B53" s="2" t="s">
        <v>68</v>
      </c>
      <c r="C53" s="2" t="s">
        <v>66</v>
      </c>
      <c r="D53" s="2" t="s">
        <v>69</v>
      </c>
      <c r="E53" s="2" t="s">
        <v>70</v>
      </c>
    </row>
    <row r="54" spans="1:5" ht="7.95" customHeight="1" x14ac:dyDescent="0.3">
      <c r="A54" t="s">
        <v>1</v>
      </c>
    </row>
    <row r="55" spans="1:5" ht="24" customHeight="1" x14ac:dyDescent="0.3">
      <c r="A55" s="8" t="s">
        <v>401</v>
      </c>
      <c r="B55" s="7"/>
      <c r="C55" s="7"/>
      <c r="D55" s="7"/>
      <c r="E55" s="7"/>
    </row>
    <row r="56" spans="1:5" ht="22.05" customHeight="1" x14ac:dyDescent="0.3">
      <c r="A56" s="1" t="s">
        <v>19</v>
      </c>
      <c r="B56" s="1" t="s">
        <v>38</v>
      </c>
      <c r="C56" s="1" t="s">
        <v>39</v>
      </c>
      <c r="D56" s="1" t="s">
        <v>40</v>
      </c>
      <c r="E56" s="1" t="s">
        <v>41</v>
      </c>
    </row>
    <row r="57" spans="1:5" ht="30" customHeight="1" x14ac:dyDescent="0.3">
      <c r="A57" s="2" t="s">
        <v>21</v>
      </c>
      <c r="B57" s="2" t="s">
        <v>42</v>
      </c>
      <c r="C57" s="2" t="s">
        <v>43</v>
      </c>
      <c r="D57" s="2" t="s">
        <v>44</v>
      </c>
      <c r="E57" s="2" t="s">
        <v>402</v>
      </c>
    </row>
    <row r="58" spans="1:5" ht="30" customHeight="1" x14ac:dyDescent="0.3">
      <c r="A58" s="2" t="s">
        <v>23</v>
      </c>
      <c r="B58" s="2" t="s">
        <v>159</v>
      </c>
      <c r="C58" s="2" t="s">
        <v>43</v>
      </c>
      <c r="D58" s="2" t="s">
        <v>252</v>
      </c>
      <c r="E58" s="2" t="s">
        <v>253</v>
      </c>
    </row>
    <row r="59" spans="1:5" ht="30" customHeight="1" x14ac:dyDescent="0.3">
      <c r="A59" s="2" t="s">
        <v>24</v>
      </c>
      <c r="B59" s="2" t="s">
        <v>103</v>
      </c>
      <c r="C59" s="2" t="s">
        <v>47</v>
      </c>
      <c r="D59" s="2" t="s">
        <v>51</v>
      </c>
      <c r="E59" s="2" t="s">
        <v>403</v>
      </c>
    </row>
    <row r="60" spans="1:5" ht="30" customHeight="1" x14ac:dyDescent="0.3">
      <c r="A60" s="2" t="s">
        <v>25</v>
      </c>
      <c r="B60" s="2" t="s">
        <v>404</v>
      </c>
      <c r="C60" s="2" t="s">
        <v>47</v>
      </c>
      <c r="D60" s="2" t="s">
        <v>405</v>
      </c>
      <c r="E60" s="2" t="s">
        <v>406</v>
      </c>
    </row>
    <row r="61" spans="1:5" ht="30" customHeight="1" x14ac:dyDescent="0.3">
      <c r="A61" s="2" t="s">
        <v>26</v>
      </c>
      <c r="B61" s="2" t="s">
        <v>68</v>
      </c>
      <c r="C61" s="2" t="s">
        <v>66</v>
      </c>
      <c r="D61" s="2" t="s">
        <v>69</v>
      </c>
      <c r="E61" s="2" t="s">
        <v>70</v>
      </c>
    </row>
    <row r="62" spans="1:5" ht="30" customHeight="1" x14ac:dyDescent="0.3">
      <c r="A62" s="2" t="s">
        <v>27</v>
      </c>
      <c r="B62" s="2" t="s">
        <v>71</v>
      </c>
      <c r="C62" s="2" t="s">
        <v>66</v>
      </c>
      <c r="D62" s="2" t="s">
        <v>72</v>
      </c>
      <c r="E62" s="2" t="s">
        <v>73</v>
      </c>
    </row>
    <row r="63" spans="1:5" ht="7.95" customHeight="1" x14ac:dyDescent="0.3">
      <c r="A63" t="s">
        <v>1</v>
      </c>
    </row>
    <row r="64" spans="1:5" ht="24" customHeight="1" x14ac:dyDescent="0.3">
      <c r="A64" s="8" t="s">
        <v>407</v>
      </c>
      <c r="B64" s="7"/>
      <c r="C64" s="7"/>
      <c r="D64" s="7"/>
      <c r="E64" s="7"/>
    </row>
    <row r="65" spans="1:5" ht="22.05" customHeight="1" x14ac:dyDescent="0.3">
      <c r="A65" s="1" t="s">
        <v>19</v>
      </c>
      <c r="B65" s="1" t="s">
        <v>38</v>
      </c>
      <c r="C65" s="1" t="s">
        <v>39</v>
      </c>
      <c r="D65" s="1" t="s">
        <v>40</v>
      </c>
      <c r="E65" s="1" t="s">
        <v>41</v>
      </c>
    </row>
    <row r="66" spans="1:5" ht="30" customHeight="1" x14ac:dyDescent="0.3">
      <c r="A66" s="2" t="s">
        <v>21</v>
      </c>
      <c r="B66" s="2" t="s">
        <v>42</v>
      </c>
      <c r="C66" s="2" t="s">
        <v>43</v>
      </c>
      <c r="D66" s="2" t="s">
        <v>44</v>
      </c>
      <c r="E66" s="2" t="s">
        <v>408</v>
      </c>
    </row>
    <row r="67" spans="1:5" ht="30" customHeight="1" x14ac:dyDescent="0.3">
      <c r="A67" s="2" t="s">
        <v>23</v>
      </c>
      <c r="B67" s="2" t="s">
        <v>409</v>
      </c>
      <c r="C67" s="2" t="s">
        <v>43</v>
      </c>
      <c r="D67" s="2" t="s">
        <v>410</v>
      </c>
      <c r="E67" s="2" t="s">
        <v>411</v>
      </c>
    </row>
    <row r="68" spans="1:5" ht="30" customHeight="1" x14ac:dyDescent="0.3">
      <c r="A68" s="2" t="s">
        <v>24</v>
      </c>
      <c r="B68" s="2" t="s">
        <v>150</v>
      </c>
      <c r="C68" s="2" t="s">
        <v>47</v>
      </c>
      <c r="D68" s="2" t="s">
        <v>51</v>
      </c>
      <c r="E68" s="2" t="s">
        <v>412</v>
      </c>
    </row>
    <row r="69" spans="1:5" ht="30" customHeight="1" x14ac:dyDescent="0.3">
      <c r="A69" s="2" t="s">
        <v>25</v>
      </c>
      <c r="B69" s="2" t="s">
        <v>413</v>
      </c>
      <c r="C69" s="2" t="s">
        <v>129</v>
      </c>
      <c r="D69" s="2" t="s">
        <v>51</v>
      </c>
      <c r="E69" s="2" t="s">
        <v>414</v>
      </c>
    </row>
    <row r="70" spans="1:5" ht="30" customHeight="1" x14ac:dyDescent="0.3">
      <c r="A70" s="2" t="s">
        <v>26</v>
      </c>
      <c r="B70" s="2" t="s">
        <v>415</v>
      </c>
      <c r="C70" s="2" t="s">
        <v>129</v>
      </c>
      <c r="D70" s="2" t="s">
        <v>111</v>
      </c>
      <c r="E70" s="2" t="s">
        <v>416</v>
      </c>
    </row>
    <row r="71" spans="1:5" ht="30" customHeight="1" x14ac:dyDescent="0.3">
      <c r="A71" s="2" t="s">
        <v>27</v>
      </c>
      <c r="B71" s="2" t="s">
        <v>55</v>
      </c>
      <c r="C71" s="2" t="s">
        <v>47</v>
      </c>
      <c r="D71" s="2" t="s">
        <v>417</v>
      </c>
      <c r="E71" s="2" t="s">
        <v>418</v>
      </c>
    </row>
    <row r="72" spans="1:5" ht="30" customHeight="1" x14ac:dyDescent="0.3">
      <c r="A72" s="2" t="s">
        <v>28</v>
      </c>
      <c r="B72" s="2" t="s">
        <v>205</v>
      </c>
      <c r="C72" s="2" t="s">
        <v>47</v>
      </c>
      <c r="D72" s="2" t="s">
        <v>61</v>
      </c>
      <c r="E72" s="2" t="s">
        <v>313</v>
      </c>
    </row>
    <row r="73" spans="1:5" ht="30" customHeight="1" x14ac:dyDescent="0.3">
      <c r="A73" s="2" t="s">
        <v>29</v>
      </c>
      <c r="B73" s="2" t="s">
        <v>317</v>
      </c>
      <c r="C73" s="2" t="s">
        <v>43</v>
      </c>
      <c r="D73" s="2" t="s">
        <v>419</v>
      </c>
      <c r="E73" s="2" t="s">
        <v>420</v>
      </c>
    </row>
    <row r="74" spans="1:5" ht="30" customHeight="1" x14ac:dyDescent="0.3">
      <c r="A74" s="2" t="s">
        <v>30</v>
      </c>
      <c r="B74" s="2" t="s">
        <v>68</v>
      </c>
      <c r="C74" s="2" t="s">
        <v>66</v>
      </c>
      <c r="D74" s="2" t="s">
        <v>69</v>
      </c>
      <c r="E74" s="2" t="s">
        <v>70</v>
      </c>
    </row>
    <row r="75" spans="1:5" ht="30" customHeight="1" x14ac:dyDescent="0.3">
      <c r="A75" s="2" t="s">
        <v>31</v>
      </c>
      <c r="B75" s="2" t="s">
        <v>71</v>
      </c>
      <c r="C75" s="2" t="s">
        <v>66</v>
      </c>
      <c r="D75" s="2" t="s">
        <v>72</v>
      </c>
      <c r="E75" s="2" t="s">
        <v>73</v>
      </c>
    </row>
    <row r="76" spans="1:5" ht="7.95" customHeight="1" x14ac:dyDescent="0.3">
      <c r="A76" t="s">
        <v>1</v>
      </c>
    </row>
  </sheetData>
  <mergeCells count="8">
    <mergeCell ref="A43:E43"/>
    <mergeCell ref="A55:E55"/>
    <mergeCell ref="A64:E64"/>
    <mergeCell ref="A1:E1"/>
    <mergeCell ref="A2:E2"/>
    <mergeCell ref="A4:E4"/>
    <mergeCell ref="A19:E19"/>
    <mergeCell ref="A31:E31"/>
  </mergeCells>
  <pageMargins left="0.25" right="0.25" top="0.5" bottom="0.5" header="0.3" footer="0.3"/>
  <pageSetup paperSize="9"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8" customWidth="1"/>
    <col min="2" max="2" width="32" customWidth="1"/>
    <col min="3" max="3" width="20" customWidth="1"/>
    <col min="4" max="4" width="44" customWidth="1"/>
    <col min="5" max="5" width="64" customWidth="1"/>
  </cols>
  <sheetData>
    <row r="1" spans="1:5" ht="28.05" customHeight="1" x14ac:dyDescent="0.3">
      <c r="A1" s="6" t="s">
        <v>0</v>
      </c>
      <c r="B1" s="7"/>
      <c r="C1" s="7"/>
      <c r="D1" s="7"/>
      <c r="E1" s="7"/>
    </row>
    <row r="2" spans="1:5" ht="22.05" customHeight="1" x14ac:dyDescent="0.3">
      <c r="A2" s="8" t="s">
        <v>421</v>
      </c>
      <c r="B2" s="7"/>
      <c r="C2" s="7"/>
      <c r="D2" s="7"/>
      <c r="E2" s="7"/>
    </row>
    <row r="3" spans="1:5" ht="7.95" customHeight="1" x14ac:dyDescent="0.3">
      <c r="A3" t="s">
        <v>1</v>
      </c>
    </row>
    <row r="4" spans="1:5" ht="24" customHeight="1" x14ac:dyDescent="0.3">
      <c r="A4" s="8" t="s">
        <v>422</v>
      </c>
      <c r="B4" s="7"/>
      <c r="C4" s="7"/>
      <c r="D4" s="7"/>
      <c r="E4" s="7"/>
    </row>
    <row r="5" spans="1:5" ht="22.05" customHeight="1" x14ac:dyDescent="0.3">
      <c r="A5" s="1" t="s">
        <v>19</v>
      </c>
      <c r="B5" s="1" t="s">
        <v>38</v>
      </c>
      <c r="C5" s="1" t="s">
        <v>39</v>
      </c>
      <c r="D5" s="1" t="s">
        <v>40</v>
      </c>
      <c r="E5" s="1" t="s">
        <v>41</v>
      </c>
    </row>
    <row r="6" spans="1:5" ht="30" customHeight="1" x14ac:dyDescent="0.3">
      <c r="A6" s="2" t="s">
        <v>21</v>
      </c>
      <c r="B6" s="2" t="s">
        <v>42</v>
      </c>
      <c r="C6" s="2" t="s">
        <v>43</v>
      </c>
      <c r="D6" s="2" t="s">
        <v>44</v>
      </c>
      <c r="E6" s="2" t="s">
        <v>423</v>
      </c>
    </row>
    <row r="7" spans="1:5" ht="30" customHeight="1" x14ac:dyDescent="0.3">
      <c r="A7" s="2" t="s">
        <v>23</v>
      </c>
      <c r="B7" s="2" t="s">
        <v>159</v>
      </c>
      <c r="C7" s="2" t="s">
        <v>43</v>
      </c>
      <c r="D7" s="2" t="s">
        <v>424</v>
      </c>
      <c r="E7" s="2" t="s">
        <v>425</v>
      </c>
    </row>
    <row r="8" spans="1:5" ht="30" customHeight="1" x14ac:dyDescent="0.3">
      <c r="A8" s="2" t="s">
        <v>24</v>
      </c>
      <c r="B8" s="2" t="s">
        <v>211</v>
      </c>
      <c r="C8" s="2" t="s">
        <v>43</v>
      </c>
      <c r="D8" s="2" t="s">
        <v>426</v>
      </c>
      <c r="E8" s="2" t="s">
        <v>427</v>
      </c>
    </row>
    <row r="9" spans="1:5" ht="30" customHeight="1" x14ac:dyDescent="0.3">
      <c r="A9" s="2" t="s">
        <v>25</v>
      </c>
      <c r="B9" s="2" t="s">
        <v>428</v>
      </c>
      <c r="C9" s="2" t="s">
        <v>110</v>
      </c>
      <c r="D9" s="2" t="s">
        <v>51</v>
      </c>
      <c r="E9" s="2" t="s">
        <v>429</v>
      </c>
    </row>
    <row r="10" spans="1:5" ht="30" customHeight="1" x14ac:dyDescent="0.3">
      <c r="A10" s="2" t="s">
        <v>26</v>
      </c>
      <c r="B10" s="2" t="s">
        <v>430</v>
      </c>
      <c r="C10" s="2" t="s">
        <v>47</v>
      </c>
      <c r="D10" s="2" t="s">
        <v>51</v>
      </c>
      <c r="E10" s="2" t="s">
        <v>187</v>
      </c>
    </row>
    <row r="11" spans="1:5" ht="30" customHeight="1" x14ac:dyDescent="0.3">
      <c r="A11" s="2" t="s">
        <v>27</v>
      </c>
      <c r="B11" s="2" t="s">
        <v>55</v>
      </c>
      <c r="C11" s="2" t="s">
        <v>47</v>
      </c>
      <c r="D11" s="2" t="s">
        <v>389</v>
      </c>
      <c r="E11" s="2" t="s">
        <v>431</v>
      </c>
    </row>
    <row r="12" spans="1:5" ht="30" customHeight="1" x14ac:dyDescent="0.3">
      <c r="A12" s="2" t="s">
        <v>28</v>
      </c>
      <c r="B12" s="2" t="s">
        <v>432</v>
      </c>
      <c r="C12" s="2" t="s">
        <v>66</v>
      </c>
      <c r="D12" s="2" t="s">
        <v>61</v>
      </c>
      <c r="E12" s="2" t="s">
        <v>433</v>
      </c>
    </row>
    <row r="13" spans="1:5" ht="30" customHeight="1" x14ac:dyDescent="0.3">
      <c r="A13" s="2" t="s">
        <v>29</v>
      </c>
      <c r="B13" s="2" t="s">
        <v>434</v>
      </c>
      <c r="C13" s="2" t="s">
        <v>66</v>
      </c>
      <c r="D13" s="2" t="s">
        <v>61</v>
      </c>
      <c r="E13" s="2" t="s">
        <v>435</v>
      </c>
    </row>
    <row r="14" spans="1:5" ht="30" customHeight="1" x14ac:dyDescent="0.3">
      <c r="A14" s="2" t="s">
        <v>30</v>
      </c>
      <c r="B14" s="2" t="s">
        <v>436</v>
      </c>
      <c r="C14" s="2" t="s">
        <v>43</v>
      </c>
      <c r="D14" s="2" t="s">
        <v>179</v>
      </c>
      <c r="E14" s="2" t="s">
        <v>437</v>
      </c>
    </row>
    <row r="15" spans="1:5" ht="30" customHeight="1" x14ac:dyDescent="0.3">
      <c r="A15" s="2" t="s">
        <v>31</v>
      </c>
      <c r="B15" s="2" t="s">
        <v>68</v>
      </c>
      <c r="C15" s="2" t="s">
        <v>66</v>
      </c>
      <c r="D15" s="2" t="s">
        <v>69</v>
      </c>
      <c r="E15" s="2" t="s">
        <v>70</v>
      </c>
    </row>
    <row r="16" spans="1:5" ht="30" customHeight="1" x14ac:dyDescent="0.3">
      <c r="A16" s="2" t="s">
        <v>32</v>
      </c>
      <c r="B16" s="2" t="s">
        <v>71</v>
      </c>
      <c r="C16" s="2" t="s">
        <v>66</v>
      </c>
      <c r="D16" s="2" t="s">
        <v>72</v>
      </c>
      <c r="E16" s="2" t="s">
        <v>73</v>
      </c>
    </row>
    <row r="17" spans="1:5" ht="7.95" customHeight="1" x14ac:dyDescent="0.3">
      <c r="A17" t="s">
        <v>1</v>
      </c>
    </row>
    <row r="18" spans="1:5" ht="24" customHeight="1" x14ac:dyDescent="0.3">
      <c r="A18" s="8" t="s">
        <v>438</v>
      </c>
      <c r="B18" s="7"/>
      <c r="C18" s="7"/>
      <c r="D18" s="7"/>
      <c r="E18" s="7"/>
    </row>
    <row r="19" spans="1:5" ht="22.05" customHeight="1" x14ac:dyDescent="0.3">
      <c r="A19" s="1" t="s">
        <v>19</v>
      </c>
      <c r="B19" s="1" t="s">
        <v>38</v>
      </c>
      <c r="C19" s="1" t="s">
        <v>39</v>
      </c>
      <c r="D19" s="1" t="s">
        <v>40</v>
      </c>
      <c r="E19" s="1" t="s">
        <v>41</v>
      </c>
    </row>
    <row r="20" spans="1:5" ht="30" customHeight="1" x14ac:dyDescent="0.3">
      <c r="A20" s="2" t="s">
        <v>21</v>
      </c>
      <c r="B20" s="2" t="s">
        <v>42</v>
      </c>
      <c r="C20" s="2" t="s">
        <v>43</v>
      </c>
      <c r="D20" s="2" t="s">
        <v>44</v>
      </c>
      <c r="E20" s="2" t="s">
        <v>439</v>
      </c>
    </row>
    <row r="21" spans="1:5" ht="30" customHeight="1" x14ac:dyDescent="0.3">
      <c r="A21" s="2" t="s">
        <v>23</v>
      </c>
      <c r="B21" s="2" t="s">
        <v>440</v>
      </c>
      <c r="C21" s="2" t="s">
        <v>47</v>
      </c>
      <c r="D21" s="2" t="s">
        <v>48</v>
      </c>
      <c r="E21" s="2" t="s">
        <v>441</v>
      </c>
    </row>
    <row r="22" spans="1:5" ht="30" customHeight="1" x14ac:dyDescent="0.3">
      <c r="A22" s="2" t="s">
        <v>24</v>
      </c>
      <c r="B22" s="2" t="s">
        <v>442</v>
      </c>
      <c r="C22" s="2" t="s">
        <v>47</v>
      </c>
      <c r="D22" s="2" t="s">
        <v>51</v>
      </c>
      <c r="E22" s="2" t="s">
        <v>59</v>
      </c>
    </row>
    <row r="23" spans="1:5" ht="30" customHeight="1" x14ac:dyDescent="0.3">
      <c r="A23" s="2" t="s">
        <v>25</v>
      </c>
      <c r="B23" s="2" t="s">
        <v>109</v>
      </c>
      <c r="C23" s="2" t="s">
        <v>110</v>
      </c>
      <c r="D23" s="2" t="s">
        <v>111</v>
      </c>
      <c r="E23" s="2" t="s">
        <v>112</v>
      </c>
    </row>
    <row r="24" spans="1:5" ht="30" customHeight="1" x14ac:dyDescent="0.3">
      <c r="A24" s="2" t="s">
        <v>26</v>
      </c>
      <c r="B24" s="2" t="s">
        <v>113</v>
      </c>
      <c r="C24" s="2" t="s">
        <v>114</v>
      </c>
      <c r="D24" s="2" t="s">
        <v>115</v>
      </c>
      <c r="E24" s="2" t="s">
        <v>116</v>
      </c>
    </row>
    <row r="25" spans="1:5" ht="7.95" customHeight="1" x14ac:dyDescent="0.3">
      <c r="A25" t="s">
        <v>1</v>
      </c>
    </row>
    <row r="26" spans="1:5" ht="24" customHeight="1" x14ac:dyDescent="0.3">
      <c r="A26" s="8" t="s">
        <v>443</v>
      </c>
      <c r="B26" s="7"/>
      <c r="C26" s="7"/>
      <c r="D26" s="7"/>
      <c r="E26" s="7"/>
    </row>
    <row r="27" spans="1:5" ht="22.05" customHeight="1" x14ac:dyDescent="0.3">
      <c r="A27" s="1" t="s">
        <v>19</v>
      </c>
      <c r="B27" s="1" t="s">
        <v>38</v>
      </c>
      <c r="C27" s="1" t="s">
        <v>39</v>
      </c>
      <c r="D27" s="1" t="s">
        <v>40</v>
      </c>
      <c r="E27" s="1" t="s">
        <v>41</v>
      </c>
    </row>
    <row r="28" spans="1:5" ht="30" customHeight="1" x14ac:dyDescent="0.3">
      <c r="A28" s="2" t="s">
        <v>21</v>
      </c>
      <c r="B28" s="2" t="s">
        <v>42</v>
      </c>
      <c r="C28" s="2" t="s">
        <v>43</v>
      </c>
      <c r="D28" s="2" t="s">
        <v>44</v>
      </c>
      <c r="E28" s="2" t="s">
        <v>444</v>
      </c>
    </row>
    <row r="29" spans="1:5" ht="30" customHeight="1" x14ac:dyDescent="0.3">
      <c r="A29" s="2" t="s">
        <v>23</v>
      </c>
      <c r="B29" s="2" t="s">
        <v>445</v>
      </c>
      <c r="C29" s="2" t="s">
        <v>43</v>
      </c>
      <c r="D29" s="2" t="s">
        <v>446</v>
      </c>
      <c r="E29" s="2" t="s">
        <v>447</v>
      </c>
    </row>
    <row r="30" spans="1:5" ht="30" customHeight="1" x14ac:dyDescent="0.3">
      <c r="A30" s="2" t="s">
        <v>24</v>
      </c>
      <c r="B30" s="2" t="s">
        <v>448</v>
      </c>
      <c r="C30" s="2" t="s">
        <v>43</v>
      </c>
      <c r="D30" s="2" t="s">
        <v>449</v>
      </c>
      <c r="E30" s="2" t="s">
        <v>450</v>
      </c>
    </row>
    <row r="31" spans="1:5" ht="30" customHeight="1" x14ac:dyDescent="0.3">
      <c r="A31" s="2" t="s">
        <v>25</v>
      </c>
      <c r="B31" s="2" t="s">
        <v>451</v>
      </c>
      <c r="C31" s="2" t="s">
        <v>110</v>
      </c>
      <c r="D31" s="2" t="s">
        <v>51</v>
      </c>
      <c r="E31" s="2" t="s">
        <v>452</v>
      </c>
    </row>
    <row r="32" spans="1:5" ht="7.95" customHeight="1" x14ac:dyDescent="0.3">
      <c r="A32" t="s">
        <v>1</v>
      </c>
    </row>
  </sheetData>
  <mergeCells count="5">
    <mergeCell ref="A1:E1"/>
    <mergeCell ref="A2:E2"/>
    <mergeCell ref="A4:E4"/>
    <mergeCell ref="A18:E18"/>
    <mergeCell ref="A26:E26"/>
  </mergeCells>
  <pageMargins left="0.25" right="0.25" top="0.5" bottom="0.5" header="0.3" footer="0.3"/>
  <pageSetup paperSize="9"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39"/>
  <sheetViews>
    <sheetView workbookViewId="0">
      <pane ySplit="1" topLeftCell="A30" activePane="bottomLeft" state="frozen"/>
      <selection pane="bottomLeft" sqref="A1:E1"/>
    </sheetView>
  </sheetViews>
  <sheetFormatPr defaultRowHeight="14.4" x14ac:dyDescent="0.3"/>
  <cols>
    <col min="1" max="1" width="8" customWidth="1"/>
    <col min="2" max="2" width="32" customWidth="1"/>
    <col min="3" max="3" width="20" customWidth="1"/>
    <col min="4" max="4" width="44" customWidth="1"/>
    <col min="5" max="5" width="64" customWidth="1"/>
  </cols>
  <sheetData>
    <row r="1" spans="1:5" ht="28.05" customHeight="1" x14ac:dyDescent="0.3">
      <c r="A1" s="6" t="s">
        <v>0</v>
      </c>
      <c r="B1" s="7"/>
      <c r="C1" s="7"/>
      <c r="D1" s="7"/>
      <c r="E1" s="7"/>
    </row>
    <row r="2" spans="1:5" ht="22.05" customHeight="1" x14ac:dyDescent="0.3">
      <c r="A2" s="8" t="s">
        <v>453</v>
      </c>
      <c r="B2" s="7"/>
      <c r="C2" s="7"/>
      <c r="D2" s="7"/>
      <c r="E2" s="7"/>
    </row>
    <row r="3" spans="1:5" ht="7.95" customHeight="1" x14ac:dyDescent="0.3">
      <c r="A3" t="s">
        <v>1</v>
      </c>
    </row>
    <row r="4" spans="1:5" ht="24" customHeight="1" x14ac:dyDescent="0.3">
      <c r="A4" s="8" t="s">
        <v>454</v>
      </c>
      <c r="B4" s="7"/>
      <c r="C4" s="7"/>
      <c r="D4" s="7"/>
      <c r="E4" s="7"/>
    </row>
    <row r="5" spans="1:5" ht="22.05" customHeight="1" x14ac:dyDescent="0.3">
      <c r="A5" s="1" t="s">
        <v>19</v>
      </c>
      <c r="B5" s="1" t="s">
        <v>38</v>
      </c>
      <c r="C5" s="1" t="s">
        <v>39</v>
      </c>
      <c r="D5" s="1" t="s">
        <v>40</v>
      </c>
      <c r="E5" s="1" t="s">
        <v>41</v>
      </c>
    </row>
    <row r="6" spans="1:5" ht="30" customHeight="1" x14ac:dyDescent="0.3">
      <c r="A6" s="2" t="s">
        <v>21</v>
      </c>
      <c r="B6" s="2" t="s">
        <v>42</v>
      </c>
      <c r="C6" s="2" t="s">
        <v>43</v>
      </c>
      <c r="D6" s="2" t="s">
        <v>44</v>
      </c>
      <c r="E6" s="2" t="s">
        <v>455</v>
      </c>
    </row>
    <row r="7" spans="1:5" ht="30" customHeight="1" x14ac:dyDescent="0.3">
      <c r="A7" s="2" t="s">
        <v>23</v>
      </c>
      <c r="B7" s="2" t="s">
        <v>159</v>
      </c>
      <c r="C7" s="2" t="s">
        <v>43</v>
      </c>
      <c r="D7" s="2" t="s">
        <v>252</v>
      </c>
      <c r="E7" s="2" t="s">
        <v>456</v>
      </c>
    </row>
    <row r="8" spans="1:5" ht="30" customHeight="1" x14ac:dyDescent="0.3">
      <c r="A8" s="2" t="s">
        <v>24</v>
      </c>
      <c r="B8" s="2" t="s">
        <v>68</v>
      </c>
      <c r="C8" s="2" t="s">
        <v>66</v>
      </c>
      <c r="D8" s="2" t="s">
        <v>69</v>
      </c>
      <c r="E8" s="2" t="s">
        <v>70</v>
      </c>
    </row>
    <row r="9" spans="1:5" ht="7.95" customHeight="1" x14ac:dyDescent="0.3">
      <c r="A9" t="s">
        <v>1</v>
      </c>
    </row>
    <row r="10" spans="1:5" ht="24" customHeight="1" x14ac:dyDescent="0.3">
      <c r="A10" s="8" t="s">
        <v>457</v>
      </c>
      <c r="B10" s="7"/>
      <c r="C10" s="7"/>
      <c r="D10" s="7"/>
      <c r="E10" s="7"/>
    </row>
    <row r="11" spans="1:5" ht="22.05" customHeight="1" x14ac:dyDescent="0.3">
      <c r="A11" s="1" t="s">
        <v>19</v>
      </c>
      <c r="B11" s="1" t="s">
        <v>38</v>
      </c>
      <c r="C11" s="1" t="s">
        <v>39</v>
      </c>
      <c r="D11" s="1" t="s">
        <v>40</v>
      </c>
      <c r="E11" s="1" t="s">
        <v>41</v>
      </c>
    </row>
    <row r="12" spans="1:5" ht="30" customHeight="1" x14ac:dyDescent="0.3">
      <c r="A12" s="2" t="s">
        <v>21</v>
      </c>
      <c r="B12" s="2" t="s">
        <v>42</v>
      </c>
      <c r="C12" s="2" t="s">
        <v>43</v>
      </c>
      <c r="D12" s="2" t="s">
        <v>44</v>
      </c>
      <c r="E12" s="2" t="s">
        <v>458</v>
      </c>
    </row>
    <row r="13" spans="1:5" ht="30" customHeight="1" x14ac:dyDescent="0.3">
      <c r="A13" s="2" t="s">
        <v>23</v>
      </c>
      <c r="B13" s="2" t="s">
        <v>459</v>
      </c>
      <c r="C13" s="2" t="s">
        <v>43</v>
      </c>
      <c r="D13" s="2" t="s">
        <v>460</v>
      </c>
      <c r="E13" s="2" t="s">
        <v>461</v>
      </c>
    </row>
    <row r="14" spans="1:5" ht="30" customHeight="1" x14ac:dyDescent="0.3">
      <c r="A14" s="2" t="s">
        <v>24</v>
      </c>
      <c r="B14" s="2" t="s">
        <v>77</v>
      </c>
      <c r="C14" s="2" t="s">
        <v>43</v>
      </c>
      <c r="D14" s="2" t="s">
        <v>462</v>
      </c>
      <c r="E14" s="2" t="s">
        <v>463</v>
      </c>
    </row>
    <row r="15" spans="1:5" ht="30" customHeight="1" x14ac:dyDescent="0.3">
      <c r="A15" s="2" t="s">
        <v>25</v>
      </c>
      <c r="B15" s="2" t="s">
        <v>464</v>
      </c>
      <c r="C15" s="2" t="s">
        <v>66</v>
      </c>
      <c r="D15" s="2" t="s">
        <v>69</v>
      </c>
      <c r="E15" s="2" t="s">
        <v>465</v>
      </c>
    </row>
    <row r="16" spans="1:5" ht="7.95" customHeight="1" x14ac:dyDescent="0.3">
      <c r="A16" t="s">
        <v>1</v>
      </c>
    </row>
    <row r="17" spans="1:5" ht="24" customHeight="1" x14ac:dyDescent="0.3">
      <c r="A17" s="8" t="s">
        <v>466</v>
      </c>
      <c r="B17" s="7"/>
      <c r="C17" s="7"/>
      <c r="D17" s="7"/>
      <c r="E17" s="7"/>
    </row>
    <row r="18" spans="1:5" ht="22.05" customHeight="1" x14ac:dyDescent="0.3">
      <c r="A18" s="1" t="s">
        <v>19</v>
      </c>
      <c r="B18" s="1" t="s">
        <v>38</v>
      </c>
      <c r="C18" s="1" t="s">
        <v>39</v>
      </c>
      <c r="D18" s="1" t="s">
        <v>40</v>
      </c>
      <c r="E18" s="1" t="s">
        <v>41</v>
      </c>
    </row>
    <row r="19" spans="1:5" ht="30" customHeight="1" x14ac:dyDescent="0.3">
      <c r="A19" s="2" t="s">
        <v>21</v>
      </c>
      <c r="B19" s="2" t="s">
        <v>42</v>
      </c>
      <c r="C19" s="2" t="s">
        <v>43</v>
      </c>
      <c r="D19" s="2" t="s">
        <v>44</v>
      </c>
      <c r="E19" s="2" t="s">
        <v>467</v>
      </c>
    </row>
    <row r="20" spans="1:5" ht="30" customHeight="1" x14ac:dyDescent="0.3">
      <c r="A20" s="2" t="s">
        <v>23</v>
      </c>
      <c r="B20" s="2" t="s">
        <v>459</v>
      </c>
      <c r="C20" s="2" t="s">
        <v>43</v>
      </c>
      <c r="D20" s="2" t="s">
        <v>468</v>
      </c>
      <c r="E20" s="2" t="s">
        <v>461</v>
      </c>
    </row>
    <row r="21" spans="1:5" ht="30" customHeight="1" x14ac:dyDescent="0.3">
      <c r="A21" s="2" t="s">
        <v>24</v>
      </c>
      <c r="B21" s="2" t="s">
        <v>469</v>
      </c>
      <c r="C21" s="2" t="s">
        <v>43</v>
      </c>
      <c r="D21" s="2" t="s">
        <v>176</v>
      </c>
      <c r="E21" s="2" t="s">
        <v>470</v>
      </c>
    </row>
    <row r="22" spans="1:5" ht="30" customHeight="1" x14ac:dyDescent="0.3">
      <c r="A22" s="2" t="s">
        <v>25</v>
      </c>
      <c r="B22" s="2" t="s">
        <v>471</v>
      </c>
      <c r="C22" s="2" t="s">
        <v>47</v>
      </c>
      <c r="D22" s="2" t="s">
        <v>51</v>
      </c>
      <c r="E22" s="2" t="s">
        <v>472</v>
      </c>
    </row>
    <row r="23" spans="1:5" ht="30" customHeight="1" x14ac:dyDescent="0.3">
      <c r="A23" s="2" t="s">
        <v>26</v>
      </c>
      <c r="B23" s="2" t="s">
        <v>357</v>
      </c>
      <c r="C23" s="2" t="s">
        <v>66</v>
      </c>
      <c r="D23" s="2" t="s">
        <v>69</v>
      </c>
      <c r="E23" s="2" t="s">
        <v>358</v>
      </c>
    </row>
    <row r="24" spans="1:5" ht="30" customHeight="1" x14ac:dyDescent="0.3">
      <c r="A24" s="2" t="s">
        <v>27</v>
      </c>
      <c r="B24" s="2" t="s">
        <v>74</v>
      </c>
      <c r="C24" s="2" t="s">
        <v>66</v>
      </c>
      <c r="D24" s="2" t="s">
        <v>61</v>
      </c>
      <c r="E24" s="2" t="s">
        <v>75</v>
      </c>
    </row>
    <row r="25" spans="1:5" ht="7.95" customHeight="1" x14ac:dyDescent="0.3">
      <c r="A25" t="s">
        <v>1</v>
      </c>
    </row>
    <row r="26" spans="1:5" ht="24" customHeight="1" x14ac:dyDescent="0.3">
      <c r="A26" s="8" t="s">
        <v>473</v>
      </c>
      <c r="B26" s="7"/>
      <c r="C26" s="7"/>
      <c r="D26" s="7"/>
      <c r="E26" s="7"/>
    </row>
    <row r="27" spans="1:5" ht="22.05" customHeight="1" x14ac:dyDescent="0.3">
      <c r="A27" s="1" t="s">
        <v>19</v>
      </c>
      <c r="B27" s="1" t="s">
        <v>38</v>
      </c>
      <c r="C27" s="1" t="s">
        <v>39</v>
      </c>
      <c r="D27" s="1" t="s">
        <v>40</v>
      </c>
      <c r="E27" s="1" t="s">
        <v>41</v>
      </c>
    </row>
    <row r="28" spans="1:5" ht="30" customHeight="1" x14ac:dyDescent="0.3">
      <c r="A28" s="2" t="s">
        <v>21</v>
      </c>
      <c r="B28" s="2" t="s">
        <v>42</v>
      </c>
      <c r="C28" s="2" t="s">
        <v>43</v>
      </c>
      <c r="D28" s="2" t="s">
        <v>44</v>
      </c>
      <c r="E28" s="2" t="s">
        <v>474</v>
      </c>
    </row>
    <row r="29" spans="1:5" ht="30" customHeight="1" x14ac:dyDescent="0.3">
      <c r="A29" s="2" t="s">
        <v>23</v>
      </c>
      <c r="B29" s="2" t="s">
        <v>77</v>
      </c>
      <c r="C29" s="2" t="s">
        <v>43</v>
      </c>
      <c r="D29" s="2" t="s">
        <v>176</v>
      </c>
      <c r="E29" s="2" t="s">
        <v>475</v>
      </c>
    </row>
    <row r="30" spans="1:5" ht="30" customHeight="1" x14ac:dyDescent="0.3">
      <c r="A30" s="2" t="s">
        <v>24</v>
      </c>
      <c r="B30" s="2" t="s">
        <v>476</v>
      </c>
      <c r="C30" s="2" t="s">
        <v>47</v>
      </c>
      <c r="D30" s="2" t="s">
        <v>51</v>
      </c>
      <c r="E30" s="2" t="s">
        <v>477</v>
      </c>
    </row>
    <row r="31" spans="1:5" ht="30" customHeight="1" x14ac:dyDescent="0.3">
      <c r="A31" s="2" t="s">
        <v>25</v>
      </c>
      <c r="B31" s="2" t="s">
        <v>229</v>
      </c>
      <c r="C31" s="2" t="s">
        <v>47</v>
      </c>
      <c r="D31" s="2" t="s">
        <v>51</v>
      </c>
      <c r="E31" s="2" t="s">
        <v>478</v>
      </c>
    </row>
    <row r="32" spans="1:5" ht="30" customHeight="1" x14ac:dyDescent="0.3">
      <c r="A32" s="2" t="s">
        <v>26</v>
      </c>
      <c r="B32" s="2" t="s">
        <v>122</v>
      </c>
      <c r="C32" s="2" t="s">
        <v>47</v>
      </c>
      <c r="D32" s="2" t="s">
        <v>61</v>
      </c>
      <c r="E32" s="2" t="s">
        <v>479</v>
      </c>
    </row>
    <row r="33" spans="1:5" ht="30" customHeight="1" x14ac:dyDescent="0.3">
      <c r="A33" s="2" t="s">
        <v>27</v>
      </c>
      <c r="B33" s="2" t="s">
        <v>266</v>
      </c>
      <c r="C33" s="2" t="s">
        <v>47</v>
      </c>
      <c r="D33" s="2" t="s">
        <v>51</v>
      </c>
      <c r="E33" s="2" t="s">
        <v>3</v>
      </c>
    </row>
    <row r="34" spans="1:5" ht="30" customHeight="1" x14ac:dyDescent="0.3">
      <c r="A34" s="2" t="s">
        <v>28</v>
      </c>
      <c r="B34" s="2" t="s">
        <v>480</v>
      </c>
      <c r="C34" s="2" t="s">
        <v>47</v>
      </c>
      <c r="D34" s="2" t="s">
        <v>61</v>
      </c>
      <c r="E34" s="2" t="s">
        <v>481</v>
      </c>
    </row>
    <row r="35" spans="1:5" ht="30" customHeight="1" x14ac:dyDescent="0.3">
      <c r="A35" s="2" t="s">
        <v>29</v>
      </c>
      <c r="B35" s="2" t="s">
        <v>482</v>
      </c>
      <c r="C35" s="2" t="s">
        <v>47</v>
      </c>
      <c r="D35" s="2" t="s">
        <v>61</v>
      </c>
      <c r="E35" s="2" t="s">
        <v>483</v>
      </c>
    </row>
    <row r="36" spans="1:5" ht="30" customHeight="1" x14ac:dyDescent="0.3">
      <c r="A36" s="2" t="s">
        <v>30</v>
      </c>
      <c r="B36" s="2" t="s">
        <v>484</v>
      </c>
      <c r="C36" s="2" t="s">
        <v>114</v>
      </c>
      <c r="D36" s="2" t="s">
        <v>143</v>
      </c>
      <c r="E36" s="2" t="s">
        <v>485</v>
      </c>
    </row>
    <row r="37" spans="1:5" ht="30" customHeight="1" x14ac:dyDescent="0.3">
      <c r="A37" s="2" t="s">
        <v>31</v>
      </c>
      <c r="B37" s="2" t="s">
        <v>486</v>
      </c>
      <c r="C37" s="2" t="s">
        <v>66</v>
      </c>
      <c r="D37" s="2" t="s">
        <v>61</v>
      </c>
      <c r="E37" s="2" t="s">
        <v>487</v>
      </c>
    </row>
    <row r="38" spans="1:5" ht="30" customHeight="1" x14ac:dyDescent="0.3">
      <c r="A38" s="2" t="s">
        <v>32</v>
      </c>
      <c r="B38" s="2" t="s">
        <v>68</v>
      </c>
      <c r="C38" s="2" t="s">
        <v>66</v>
      </c>
      <c r="D38" s="2" t="s">
        <v>69</v>
      </c>
      <c r="E38" s="2" t="s">
        <v>70</v>
      </c>
    </row>
    <row r="39" spans="1:5" ht="7.95" customHeight="1" x14ac:dyDescent="0.3">
      <c r="A39" t="s">
        <v>1</v>
      </c>
    </row>
  </sheetData>
  <mergeCells count="6">
    <mergeCell ref="A26:E26"/>
    <mergeCell ref="A1:E1"/>
    <mergeCell ref="A2:E2"/>
    <mergeCell ref="A4:E4"/>
    <mergeCell ref="A10:E10"/>
    <mergeCell ref="A17:E17"/>
  </mergeCells>
  <pageMargins left="0.25" right="0.25" top="0.5" bottom="0.5" header="0.3" footer="0.3"/>
  <pageSetup paperSize="9" fitToHeight="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9"/>
  <sheetViews>
    <sheetView workbookViewId="0">
      <pane ySplit="1" topLeftCell="A9" activePane="bottomLeft" state="frozen"/>
      <selection pane="bottomLeft" sqref="A1:E1"/>
    </sheetView>
  </sheetViews>
  <sheetFormatPr defaultRowHeight="14.4" x14ac:dyDescent="0.3"/>
  <cols>
    <col min="1" max="1" width="8" customWidth="1"/>
    <col min="2" max="2" width="46" customWidth="1"/>
    <col min="3" max="3" width="90" customWidth="1"/>
    <col min="4" max="5" width="30" customWidth="1"/>
  </cols>
  <sheetData>
    <row r="1" spans="1:5" ht="28.05" customHeight="1" x14ac:dyDescent="0.3">
      <c r="A1" s="6" t="s">
        <v>0</v>
      </c>
      <c r="B1" s="7"/>
      <c r="C1" s="7"/>
      <c r="D1" s="7"/>
      <c r="E1" s="7"/>
    </row>
    <row r="2" spans="1:5" ht="22.05" customHeight="1" x14ac:dyDescent="0.3">
      <c r="A2" s="8" t="s">
        <v>488</v>
      </c>
      <c r="B2" s="7"/>
      <c r="C2" s="7"/>
      <c r="D2" s="7"/>
      <c r="E2" s="7"/>
    </row>
    <row r="3" spans="1:5" ht="7.95" customHeight="1" x14ac:dyDescent="0.3">
      <c r="A3" t="s">
        <v>1</v>
      </c>
    </row>
    <row r="4" spans="1:5" ht="24" customHeight="1" x14ac:dyDescent="0.3">
      <c r="A4" s="8" t="s">
        <v>488</v>
      </c>
      <c r="B4" s="7"/>
      <c r="C4" s="7"/>
      <c r="D4" s="7"/>
      <c r="E4" s="7"/>
    </row>
    <row r="5" spans="1:5" ht="22.05" customHeight="1" x14ac:dyDescent="0.3">
      <c r="A5" s="1" t="s">
        <v>19</v>
      </c>
      <c r="B5" s="1" t="s">
        <v>489</v>
      </c>
      <c r="C5" s="1" t="s">
        <v>490</v>
      </c>
    </row>
    <row r="6" spans="1:5" ht="30" customHeight="1" x14ac:dyDescent="0.3">
      <c r="A6" s="2" t="s">
        <v>21</v>
      </c>
      <c r="B6" s="2" t="s">
        <v>491</v>
      </c>
      <c r="C6" s="2" t="s">
        <v>492</v>
      </c>
    </row>
    <row r="7" spans="1:5" ht="30" customHeight="1" x14ac:dyDescent="0.3">
      <c r="A7" s="2" t="s">
        <v>23</v>
      </c>
      <c r="B7" s="2" t="s">
        <v>493</v>
      </c>
      <c r="C7" s="2" t="s">
        <v>494</v>
      </c>
    </row>
    <row r="8" spans="1:5" ht="30" customHeight="1" x14ac:dyDescent="0.3">
      <c r="A8" s="2" t="s">
        <v>24</v>
      </c>
      <c r="B8" s="2" t="s">
        <v>495</v>
      </c>
      <c r="C8" s="2" t="s">
        <v>496</v>
      </c>
    </row>
    <row r="9" spans="1:5" ht="30" customHeight="1" x14ac:dyDescent="0.3">
      <c r="A9" s="2" t="s">
        <v>25</v>
      </c>
      <c r="B9" s="2" t="s">
        <v>497</v>
      </c>
      <c r="C9" s="2" t="s">
        <v>498</v>
      </c>
    </row>
    <row r="10" spans="1:5" ht="30" customHeight="1" x14ac:dyDescent="0.3">
      <c r="A10" s="2" t="s">
        <v>26</v>
      </c>
      <c r="B10" s="2" t="s">
        <v>499</v>
      </c>
      <c r="C10" s="2" t="s">
        <v>500</v>
      </c>
    </row>
    <row r="11" spans="1:5" ht="30" customHeight="1" x14ac:dyDescent="0.3">
      <c r="A11" s="2" t="s">
        <v>27</v>
      </c>
      <c r="B11" s="2" t="s">
        <v>501</v>
      </c>
      <c r="C11" s="2" t="s">
        <v>502</v>
      </c>
    </row>
    <row r="12" spans="1:5" ht="30" customHeight="1" x14ac:dyDescent="0.3">
      <c r="A12" s="2" t="s">
        <v>28</v>
      </c>
      <c r="B12" s="2" t="s">
        <v>503</v>
      </c>
      <c r="C12" s="2" t="s">
        <v>504</v>
      </c>
    </row>
    <row r="13" spans="1:5" ht="30" customHeight="1" x14ac:dyDescent="0.3">
      <c r="A13" s="2" t="s">
        <v>29</v>
      </c>
      <c r="B13" s="2" t="s">
        <v>505</v>
      </c>
      <c r="C13" s="2" t="s">
        <v>506</v>
      </c>
    </row>
    <row r="14" spans="1:5" ht="30" customHeight="1" x14ac:dyDescent="0.3">
      <c r="A14" s="2" t="s">
        <v>30</v>
      </c>
      <c r="B14" s="2" t="s">
        <v>507</v>
      </c>
      <c r="C14" s="2" t="s">
        <v>508</v>
      </c>
    </row>
    <row r="15" spans="1:5" ht="30" customHeight="1" x14ac:dyDescent="0.3">
      <c r="A15" s="2" t="s">
        <v>31</v>
      </c>
      <c r="B15" s="2" t="s">
        <v>509</v>
      </c>
      <c r="C15" s="2" t="s">
        <v>510</v>
      </c>
    </row>
    <row r="16" spans="1:5" ht="30" customHeight="1" x14ac:dyDescent="0.3">
      <c r="A16" s="2" t="s">
        <v>32</v>
      </c>
      <c r="B16" s="2" t="s">
        <v>511</v>
      </c>
      <c r="C16" s="2" t="s">
        <v>512</v>
      </c>
    </row>
    <row r="17" spans="1:3" ht="30" customHeight="1" x14ac:dyDescent="0.3">
      <c r="A17" s="2" t="s">
        <v>34</v>
      </c>
      <c r="B17" s="2" t="s">
        <v>513</v>
      </c>
      <c r="C17" s="2" t="s">
        <v>514</v>
      </c>
    </row>
    <row r="18" spans="1:3" ht="30" customHeight="1" x14ac:dyDescent="0.3">
      <c r="A18" s="2" t="s">
        <v>141</v>
      </c>
      <c r="B18" s="2" t="s">
        <v>515</v>
      </c>
      <c r="C18" s="2" t="s">
        <v>516</v>
      </c>
    </row>
    <row r="19" spans="1:3" ht="30" customHeight="1" x14ac:dyDescent="0.3">
      <c r="A19" s="2" t="s">
        <v>145</v>
      </c>
      <c r="B19" s="2" t="s">
        <v>517</v>
      </c>
      <c r="C19" s="2" t="s">
        <v>518</v>
      </c>
    </row>
  </sheetData>
  <mergeCells count="3">
    <mergeCell ref="A1:E1"/>
    <mergeCell ref="A2:E2"/>
    <mergeCell ref="A4:E4"/>
  </mergeCells>
  <pageMargins left="0.25" right="0.25" top="0.5" bottom="0.5" header="0.3" footer="0.3"/>
  <pageSetup paperSize="9" fitToHeight="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22"/>
  <sheetViews>
    <sheetView workbookViewId="0">
      <pane ySplit="1" topLeftCell="A2" activePane="bottomLeft" state="frozen"/>
      <selection pane="bottomLeft" sqref="A1:E1"/>
    </sheetView>
  </sheetViews>
  <sheetFormatPr defaultRowHeight="14.4" x14ac:dyDescent="0.3"/>
  <cols>
    <col min="1" max="1" width="8" customWidth="1"/>
    <col min="2" max="2" width="46" customWidth="1"/>
    <col min="3" max="3" width="90" customWidth="1"/>
    <col min="4" max="5" width="30" customWidth="1"/>
  </cols>
  <sheetData>
    <row r="1" spans="1:5" ht="28.05" customHeight="1" x14ac:dyDescent="0.3">
      <c r="A1" s="6" t="s">
        <v>0</v>
      </c>
      <c r="B1" s="7"/>
      <c r="C1" s="7"/>
      <c r="D1" s="7"/>
      <c r="E1" s="7"/>
    </row>
    <row r="2" spans="1:5" ht="22.05" customHeight="1" x14ac:dyDescent="0.3">
      <c r="A2" s="8" t="s">
        <v>519</v>
      </c>
      <c r="B2" s="7"/>
      <c r="C2" s="7"/>
      <c r="D2" s="7"/>
      <c r="E2" s="7"/>
    </row>
    <row r="3" spans="1:5" ht="7.95" customHeight="1" x14ac:dyDescent="0.3">
      <c r="A3" t="s">
        <v>1</v>
      </c>
    </row>
    <row r="4" spans="1:5" ht="24" customHeight="1" x14ac:dyDescent="0.3">
      <c r="A4" s="8" t="s">
        <v>519</v>
      </c>
      <c r="B4" s="7"/>
      <c r="C4" s="7"/>
      <c r="D4" s="7"/>
      <c r="E4" s="7"/>
    </row>
    <row r="5" spans="1:5" ht="22.05" customHeight="1" x14ac:dyDescent="0.3">
      <c r="A5" s="1" t="s">
        <v>520</v>
      </c>
      <c r="B5" s="1" t="s">
        <v>521</v>
      </c>
    </row>
    <row r="6" spans="1:5" ht="30" customHeight="1" x14ac:dyDescent="0.3">
      <c r="A6" s="2" t="s">
        <v>522</v>
      </c>
      <c r="B6" s="2" t="s">
        <v>523</v>
      </c>
    </row>
    <row r="7" spans="1:5" ht="30" customHeight="1" x14ac:dyDescent="0.3">
      <c r="A7" s="2" t="s">
        <v>524</v>
      </c>
      <c r="B7" s="2" t="s">
        <v>525</v>
      </c>
    </row>
    <row r="8" spans="1:5" ht="30" customHeight="1" x14ac:dyDescent="0.3">
      <c r="A8" s="2" t="s">
        <v>526</v>
      </c>
      <c r="B8" s="2" t="s">
        <v>527</v>
      </c>
    </row>
    <row r="9" spans="1:5" ht="30" customHeight="1" x14ac:dyDescent="0.3">
      <c r="A9" s="2" t="s">
        <v>528</v>
      </c>
      <c r="B9" s="2" t="s">
        <v>529</v>
      </c>
    </row>
    <row r="10" spans="1:5" ht="30" customHeight="1" x14ac:dyDescent="0.3">
      <c r="A10" s="2" t="s">
        <v>530</v>
      </c>
      <c r="B10" s="2" t="s">
        <v>531</v>
      </c>
    </row>
    <row r="11" spans="1:5" ht="30" customHeight="1" x14ac:dyDescent="0.3">
      <c r="A11" s="2" t="s">
        <v>532</v>
      </c>
      <c r="B11" s="2" t="s">
        <v>533</v>
      </c>
    </row>
    <row r="12" spans="1:5" ht="30" customHeight="1" x14ac:dyDescent="0.3">
      <c r="A12" s="2" t="s">
        <v>534</v>
      </c>
      <c r="B12" s="2" t="s">
        <v>535</v>
      </c>
    </row>
    <row r="13" spans="1:5" ht="30" customHeight="1" x14ac:dyDescent="0.3">
      <c r="A13" s="2" t="s">
        <v>536</v>
      </c>
      <c r="B13" s="2" t="s">
        <v>537</v>
      </c>
    </row>
    <row r="14" spans="1:5" ht="30" customHeight="1" x14ac:dyDescent="0.3">
      <c r="A14" s="2" t="s">
        <v>538</v>
      </c>
      <c r="B14" s="2" t="s">
        <v>539</v>
      </c>
    </row>
    <row r="15" spans="1:5" ht="30" customHeight="1" x14ac:dyDescent="0.3">
      <c r="A15" s="2" t="s">
        <v>540</v>
      </c>
      <c r="B15" s="2" t="s">
        <v>541</v>
      </c>
    </row>
    <row r="16" spans="1:5" ht="30" customHeight="1" x14ac:dyDescent="0.3">
      <c r="A16" s="2" t="s">
        <v>542</v>
      </c>
      <c r="B16" s="2" t="s">
        <v>543</v>
      </c>
    </row>
    <row r="17" spans="1:2" ht="30" customHeight="1" x14ac:dyDescent="0.3">
      <c r="A17" s="2" t="s">
        <v>544</v>
      </c>
      <c r="B17" s="2" t="s">
        <v>545</v>
      </c>
    </row>
    <row r="18" spans="1:2" ht="30" customHeight="1" x14ac:dyDescent="0.3">
      <c r="A18" s="2" t="s">
        <v>546</v>
      </c>
      <c r="B18" s="2" t="s">
        <v>547</v>
      </c>
    </row>
    <row r="19" spans="1:2" ht="30" customHeight="1" x14ac:dyDescent="0.3">
      <c r="A19" s="2" t="s">
        <v>548</v>
      </c>
      <c r="B19" s="2" t="s">
        <v>549</v>
      </c>
    </row>
    <row r="20" spans="1:2" ht="30" customHeight="1" x14ac:dyDescent="0.3">
      <c r="A20" s="2" t="s">
        <v>550</v>
      </c>
      <c r="B20" s="2" t="s">
        <v>551</v>
      </c>
    </row>
    <row r="21" spans="1:2" ht="30" customHeight="1" x14ac:dyDescent="0.3">
      <c r="A21" s="2" t="s">
        <v>552</v>
      </c>
      <c r="B21" s="2" t="s">
        <v>553</v>
      </c>
    </row>
    <row r="22" spans="1:2" ht="30" customHeight="1" x14ac:dyDescent="0.3">
      <c r="A22" s="2" t="s">
        <v>554</v>
      </c>
      <c r="B22" s="2" t="s">
        <v>555</v>
      </c>
    </row>
  </sheetData>
  <mergeCells count="3">
    <mergeCell ref="A1:E1"/>
    <mergeCell ref="A2:E2"/>
    <mergeCell ref="A4:E4"/>
  </mergeCells>
  <pageMargins left="0.25" right="0.25" top="0.5" bottom="0.5" header="0.3" footer="0.3"/>
  <pageSetup paperSize="9" fitToHeight="0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74"/>
  <sheetViews>
    <sheetView workbookViewId="0">
      <pane ySplit="1" topLeftCell="A57" activePane="bottomLeft" state="frozen"/>
      <selection pane="bottomLeft" activeCell="C73" sqref="C73"/>
    </sheetView>
  </sheetViews>
  <sheetFormatPr defaultRowHeight="14.4" x14ac:dyDescent="0.3"/>
  <cols>
    <col min="1" max="1" width="8" customWidth="1"/>
    <col min="2" max="2" width="120" customWidth="1"/>
    <col min="3" max="5" width="20" customWidth="1"/>
  </cols>
  <sheetData>
    <row r="1" spans="1:5" ht="28.05" customHeight="1" x14ac:dyDescent="0.3">
      <c r="A1" s="6" t="s">
        <v>0</v>
      </c>
      <c r="B1" s="7"/>
      <c r="C1" s="7"/>
      <c r="D1" s="7"/>
      <c r="E1" s="7"/>
    </row>
    <row r="2" spans="1:5" ht="22.05" customHeight="1" x14ac:dyDescent="0.3">
      <c r="A2" s="8" t="s">
        <v>556</v>
      </c>
      <c r="B2" s="7"/>
      <c r="C2" s="7"/>
      <c r="D2" s="7"/>
      <c r="E2" s="7"/>
    </row>
    <row r="3" spans="1:5" ht="7.95" customHeight="1" x14ac:dyDescent="0.3">
      <c r="A3" t="s">
        <v>1</v>
      </c>
    </row>
    <row r="4" spans="1:5" ht="22.05" customHeight="1" x14ac:dyDescent="0.3">
      <c r="A4" s="1" t="s">
        <v>557</v>
      </c>
      <c r="B4" s="1" t="s">
        <v>558</v>
      </c>
    </row>
    <row r="5" spans="1:5" ht="18" customHeight="1" x14ac:dyDescent="0.3">
      <c r="A5" s="2" t="s">
        <v>21</v>
      </c>
      <c r="B5" s="5" t="s">
        <v>559</v>
      </c>
    </row>
    <row r="6" spans="1:5" ht="18" customHeight="1" x14ac:dyDescent="0.3">
      <c r="A6" s="2" t="s">
        <v>23</v>
      </c>
      <c r="B6" s="5" t="s">
        <v>560</v>
      </c>
    </row>
    <row r="7" spans="1:5" ht="18" customHeight="1" x14ac:dyDescent="0.3">
      <c r="A7" s="2" t="s">
        <v>24</v>
      </c>
      <c r="B7" s="5" t="s">
        <v>561</v>
      </c>
    </row>
    <row r="8" spans="1:5" ht="18" customHeight="1" x14ac:dyDescent="0.3">
      <c r="A8" s="2" t="s">
        <v>25</v>
      </c>
      <c r="B8" s="5" t="s">
        <v>562</v>
      </c>
    </row>
    <row r="9" spans="1:5" ht="18" customHeight="1" x14ac:dyDescent="0.3">
      <c r="A9" s="2" t="s">
        <v>26</v>
      </c>
      <c r="B9" s="5" t="s">
        <v>563</v>
      </c>
    </row>
    <row r="10" spans="1:5" ht="18" customHeight="1" x14ac:dyDescent="0.3">
      <c r="A10" s="2" t="s">
        <v>27</v>
      </c>
      <c r="B10" s="5" t="s">
        <v>564</v>
      </c>
    </row>
    <row r="11" spans="1:5" ht="18" customHeight="1" x14ac:dyDescent="0.3">
      <c r="A11" s="2" t="s">
        <v>28</v>
      </c>
      <c r="B11" s="5" t="s">
        <v>1</v>
      </c>
    </row>
    <row r="12" spans="1:5" ht="18" customHeight="1" x14ac:dyDescent="0.3">
      <c r="A12" s="2" t="s">
        <v>29</v>
      </c>
      <c r="B12" s="5" t="s">
        <v>565</v>
      </c>
    </row>
    <row r="13" spans="1:5" ht="18" customHeight="1" x14ac:dyDescent="0.3">
      <c r="A13" s="2" t="s">
        <v>30</v>
      </c>
      <c r="B13" s="5" t="s">
        <v>566</v>
      </c>
    </row>
    <row r="14" spans="1:5" ht="18" customHeight="1" x14ac:dyDescent="0.3">
      <c r="A14" s="2" t="s">
        <v>31</v>
      </c>
      <c r="B14" s="5" t="s">
        <v>567</v>
      </c>
    </row>
    <row r="15" spans="1:5" ht="18" customHeight="1" x14ac:dyDescent="0.3">
      <c r="A15" s="2" t="s">
        <v>32</v>
      </c>
      <c r="B15" s="5" t="s">
        <v>568</v>
      </c>
    </row>
    <row r="16" spans="1:5" ht="18" customHeight="1" x14ac:dyDescent="0.3">
      <c r="A16" s="2" t="s">
        <v>34</v>
      </c>
      <c r="B16" s="5" t="s">
        <v>569</v>
      </c>
    </row>
    <row r="17" spans="1:2" ht="18" customHeight="1" x14ac:dyDescent="0.3">
      <c r="A17" s="2" t="s">
        <v>141</v>
      </c>
      <c r="B17" s="5" t="s">
        <v>570</v>
      </c>
    </row>
    <row r="18" spans="1:2" ht="18" customHeight="1" x14ac:dyDescent="0.3">
      <c r="A18" s="2" t="s">
        <v>145</v>
      </c>
      <c r="B18" s="5" t="s">
        <v>1</v>
      </c>
    </row>
    <row r="19" spans="1:2" ht="18" customHeight="1" x14ac:dyDescent="0.3">
      <c r="A19" s="2" t="s">
        <v>213</v>
      </c>
      <c r="B19" s="5" t="s">
        <v>571</v>
      </c>
    </row>
    <row r="20" spans="1:2" ht="18" customHeight="1" x14ac:dyDescent="0.3">
      <c r="A20" s="2" t="s">
        <v>216</v>
      </c>
      <c r="B20" s="5" t="s">
        <v>572</v>
      </c>
    </row>
    <row r="21" spans="1:2" ht="18" customHeight="1" x14ac:dyDescent="0.3">
      <c r="A21" s="2" t="s">
        <v>219</v>
      </c>
      <c r="B21" s="5" t="s">
        <v>573</v>
      </c>
    </row>
    <row r="22" spans="1:2" ht="18" customHeight="1" x14ac:dyDescent="0.3">
      <c r="A22" s="2" t="s">
        <v>222</v>
      </c>
      <c r="B22" s="5" t="s">
        <v>574</v>
      </c>
    </row>
    <row r="23" spans="1:2" ht="18" customHeight="1" x14ac:dyDescent="0.3">
      <c r="A23" s="2" t="s">
        <v>223</v>
      </c>
      <c r="B23" s="5" t="s">
        <v>575</v>
      </c>
    </row>
    <row r="24" spans="1:2" ht="18" customHeight="1" x14ac:dyDescent="0.3">
      <c r="A24" s="2" t="s">
        <v>576</v>
      </c>
      <c r="B24" s="5" t="s">
        <v>577</v>
      </c>
    </row>
    <row r="25" spans="1:2" ht="18" customHeight="1" x14ac:dyDescent="0.3">
      <c r="A25" s="2" t="s">
        <v>578</v>
      </c>
      <c r="B25" s="5" t="s">
        <v>579</v>
      </c>
    </row>
    <row r="26" spans="1:2" ht="18" customHeight="1" x14ac:dyDescent="0.3">
      <c r="A26" s="2" t="s">
        <v>580</v>
      </c>
      <c r="B26" s="5" t="s">
        <v>581</v>
      </c>
    </row>
    <row r="27" spans="1:2" ht="18" customHeight="1" x14ac:dyDescent="0.3">
      <c r="A27" s="2" t="s">
        <v>582</v>
      </c>
      <c r="B27" s="5" t="s">
        <v>583</v>
      </c>
    </row>
    <row r="28" spans="1:2" ht="18" customHeight="1" x14ac:dyDescent="0.3">
      <c r="A28" s="2" t="s">
        <v>584</v>
      </c>
      <c r="B28" s="5" t="s">
        <v>570</v>
      </c>
    </row>
    <row r="29" spans="1:2" ht="18" customHeight="1" x14ac:dyDescent="0.3">
      <c r="A29" s="2" t="s">
        <v>585</v>
      </c>
      <c r="B29" s="5" t="s">
        <v>1</v>
      </c>
    </row>
    <row r="30" spans="1:2" ht="18" customHeight="1" x14ac:dyDescent="0.3">
      <c r="A30" s="2" t="s">
        <v>586</v>
      </c>
      <c r="B30" s="5" t="s">
        <v>587</v>
      </c>
    </row>
    <row r="31" spans="1:2" ht="18" customHeight="1" x14ac:dyDescent="0.3">
      <c r="A31" s="2" t="s">
        <v>588</v>
      </c>
      <c r="B31" s="5" t="s">
        <v>589</v>
      </c>
    </row>
    <row r="32" spans="1:2" ht="18" customHeight="1" x14ac:dyDescent="0.3">
      <c r="A32" s="2" t="s">
        <v>590</v>
      </c>
      <c r="B32" s="5" t="s">
        <v>591</v>
      </c>
    </row>
    <row r="33" spans="1:2" ht="18" customHeight="1" x14ac:dyDescent="0.3">
      <c r="A33" s="2" t="s">
        <v>592</v>
      </c>
      <c r="B33" s="5" t="s">
        <v>593</v>
      </c>
    </row>
    <row r="34" spans="1:2" ht="18" customHeight="1" x14ac:dyDescent="0.3">
      <c r="A34" s="2" t="s">
        <v>594</v>
      </c>
      <c r="B34" s="5" t="s">
        <v>1</v>
      </c>
    </row>
    <row r="35" spans="1:2" ht="18" customHeight="1" x14ac:dyDescent="0.3">
      <c r="A35" s="2" t="s">
        <v>595</v>
      </c>
      <c r="B35" s="5" t="s">
        <v>596</v>
      </c>
    </row>
    <row r="36" spans="1:2" ht="18" customHeight="1" x14ac:dyDescent="0.3">
      <c r="A36" s="2" t="s">
        <v>597</v>
      </c>
      <c r="B36" s="5" t="s">
        <v>598</v>
      </c>
    </row>
    <row r="37" spans="1:2" ht="18" customHeight="1" x14ac:dyDescent="0.3">
      <c r="A37" s="2" t="s">
        <v>599</v>
      </c>
      <c r="B37" s="5" t="s">
        <v>600</v>
      </c>
    </row>
    <row r="38" spans="1:2" ht="18" customHeight="1" x14ac:dyDescent="0.3">
      <c r="A38" s="2" t="s">
        <v>601</v>
      </c>
      <c r="B38" s="5" t="s">
        <v>602</v>
      </c>
    </row>
    <row r="39" spans="1:2" ht="18" customHeight="1" x14ac:dyDescent="0.3">
      <c r="A39" s="2" t="s">
        <v>603</v>
      </c>
      <c r="B39" s="5" t="s">
        <v>604</v>
      </c>
    </row>
    <row r="40" spans="1:2" ht="18" customHeight="1" x14ac:dyDescent="0.3">
      <c r="A40" s="2" t="s">
        <v>605</v>
      </c>
      <c r="B40" s="5" t="s">
        <v>606</v>
      </c>
    </row>
    <row r="41" spans="1:2" ht="18" customHeight="1" x14ac:dyDescent="0.3">
      <c r="A41" s="2" t="s">
        <v>607</v>
      </c>
      <c r="B41" s="5" t="s">
        <v>1</v>
      </c>
    </row>
    <row r="42" spans="1:2" ht="18" customHeight="1" x14ac:dyDescent="0.3">
      <c r="A42" s="2" t="s">
        <v>608</v>
      </c>
      <c r="B42" s="5" t="s">
        <v>609</v>
      </c>
    </row>
    <row r="43" spans="1:2" ht="18" customHeight="1" x14ac:dyDescent="0.3">
      <c r="A43" s="2" t="s">
        <v>610</v>
      </c>
      <c r="B43" s="5" t="s">
        <v>611</v>
      </c>
    </row>
    <row r="44" spans="1:2" ht="18" customHeight="1" x14ac:dyDescent="0.3">
      <c r="A44" s="2" t="s">
        <v>612</v>
      </c>
      <c r="B44" s="5" t="s">
        <v>613</v>
      </c>
    </row>
    <row r="45" spans="1:2" ht="18" customHeight="1" x14ac:dyDescent="0.3">
      <c r="A45" s="2" t="s">
        <v>614</v>
      </c>
      <c r="B45" s="5" t="s">
        <v>615</v>
      </c>
    </row>
    <row r="46" spans="1:2" ht="18" customHeight="1" x14ac:dyDescent="0.3">
      <c r="A46" s="2" t="s">
        <v>616</v>
      </c>
      <c r="B46" s="5" t="s">
        <v>617</v>
      </c>
    </row>
    <row r="47" spans="1:2" ht="18" customHeight="1" x14ac:dyDescent="0.3">
      <c r="A47" s="2" t="s">
        <v>618</v>
      </c>
      <c r="B47" s="5" t="s">
        <v>619</v>
      </c>
    </row>
    <row r="48" spans="1:2" ht="18" customHeight="1" x14ac:dyDescent="0.3">
      <c r="A48" s="2" t="s">
        <v>620</v>
      </c>
      <c r="B48" s="5" t="s">
        <v>621</v>
      </c>
    </row>
    <row r="49" spans="1:2" ht="18" customHeight="1" x14ac:dyDescent="0.3">
      <c r="A49" s="2" t="s">
        <v>622</v>
      </c>
      <c r="B49" s="5" t="s">
        <v>623</v>
      </c>
    </row>
    <row r="50" spans="1:2" ht="18" customHeight="1" x14ac:dyDescent="0.3">
      <c r="A50" s="2" t="s">
        <v>624</v>
      </c>
      <c r="B50" s="5" t="s">
        <v>625</v>
      </c>
    </row>
    <row r="51" spans="1:2" ht="18" customHeight="1" x14ac:dyDescent="0.3">
      <c r="A51" s="2" t="s">
        <v>626</v>
      </c>
      <c r="B51" s="5" t="s">
        <v>627</v>
      </c>
    </row>
    <row r="52" spans="1:2" ht="18" customHeight="1" x14ac:dyDescent="0.3">
      <c r="A52" s="2" t="s">
        <v>628</v>
      </c>
      <c r="B52" s="5" t="s">
        <v>629</v>
      </c>
    </row>
    <row r="53" spans="1:2" ht="18" customHeight="1" x14ac:dyDescent="0.3">
      <c r="A53" s="2" t="s">
        <v>630</v>
      </c>
      <c r="B53" s="5" t="s">
        <v>631</v>
      </c>
    </row>
    <row r="54" spans="1:2" ht="18" customHeight="1" x14ac:dyDescent="0.3">
      <c r="A54" s="2" t="s">
        <v>632</v>
      </c>
      <c r="B54" s="5" t="s">
        <v>1</v>
      </c>
    </row>
    <row r="55" spans="1:2" ht="18" customHeight="1" x14ac:dyDescent="0.3">
      <c r="A55" s="2" t="s">
        <v>633</v>
      </c>
      <c r="B55" s="5" t="s">
        <v>634</v>
      </c>
    </row>
    <row r="56" spans="1:2" ht="18" customHeight="1" x14ac:dyDescent="0.3">
      <c r="A56" s="2" t="s">
        <v>635</v>
      </c>
      <c r="B56" s="5" t="s">
        <v>636</v>
      </c>
    </row>
    <row r="57" spans="1:2" ht="18" customHeight="1" x14ac:dyDescent="0.3">
      <c r="A57" s="2" t="s">
        <v>637</v>
      </c>
      <c r="B57" s="5" t="s">
        <v>638</v>
      </c>
    </row>
    <row r="58" spans="1:2" ht="18" customHeight="1" x14ac:dyDescent="0.3">
      <c r="A58" s="2" t="s">
        <v>639</v>
      </c>
      <c r="B58" s="5" t="s">
        <v>640</v>
      </c>
    </row>
    <row r="59" spans="1:2" ht="18" customHeight="1" x14ac:dyDescent="0.3">
      <c r="A59" s="2" t="s">
        <v>641</v>
      </c>
      <c r="B59" s="5" t="s">
        <v>642</v>
      </c>
    </row>
    <row r="60" spans="1:2" ht="18" customHeight="1" x14ac:dyDescent="0.3">
      <c r="A60" s="2" t="s">
        <v>643</v>
      </c>
      <c r="B60" s="5" t="s">
        <v>644</v>
      </c>
    </row>
    <row r="61" spans="1:2" ht="18" customHeight="1" x14ac:dyDescent="0.3">
      <c r="A61" s="2" t="s">
        <v>645</v>
      </c>
      <c r="B61" s="5" t="s">
        <v>646</v>
      </c>
    </row>
    <row r="62" spans="1:2" ht="18" customHeight="1" x14ac:dyDescent="0.3">
      <c r="A62" s="2" t="s">
        <v>647</v>
      </c>
      <c r="B62" s="5" t="s">
        <v>1</v>
      </c>
    </row>
    <row r="63" spans="1:2" ht="18" customHeight="1" x14ac:dyDescent="0.3">
      <c r="A63" s="2" t="s">
        <v>648</v>
      </c>
      <c r="B63" s="5" t="s">
        <v>649</v>
      </c>
    </row>
    <row r="64" spans="1:2" ht="18" customHeight="1" x14ac:dyDescent="0.3">
      <c r="A64" s="2" t="s">
        <v>650</v>
      </c>
      <c r="B64" s="5" t="s">
        <v>651</v>
      </c>
    </row>
    <row r="65" spans="1:2" ht="18" customHeight="1" x14ac:dyDescent="0.3">
      <c r="A65" s="2" t="s">
        <v>652</v>
      </c>
      <c r="B65" s="5" t="s">
        <v>653</v>
      </c>
    </row>
    <row r="66" spans="1:2" ht="18" customHeight="1" x14ac:dyDescent="0.3">
      <c r="A66" s="2" t="s">
        <v>654</v>
      </c>
      <c r="B66" s="5" t="s">
        <v>655</v>
      </c>
    </row>
    <row r="67" spans="1:2" ht="18" customHeight="1" x14ac:dyDescent="0.3">
      <c r="A67" s="2" t="s">
        <v>656</v>
      </c>
      <c r="B67" s="5" t="s">
        <v>657</v>
      </c>
    </row>
    <row r="68" spans="1:2" ht="18" customHeight="1" x14ac:dyDescent="0.3">
      <c r="A68" s="2" t="s">
        <v>658</v>
      </c>
      <c r="B68" s="5" t="s">
        <v>1</v>
      </c>
    </row>
    <row r="69" spans="1:2" ht="18" customHeight="1" x14ac:dyDescent="0.3">
      <c r="A69" s="2" t="s">
        <v>659</v>
      </c>
      <c r="B69" s="5" t="s">
        <v>660</v>
      </c>
    </row>
    <row r="70" spans="1:2" ht="18" customHeight="1" x14ac:dyDescent="0.3">
      <c r="A70" s="2" t="s">
        <v>661</v>
      </c>
      <c r="B70" s="5" t="s">
        <v>662</v>
      </c>
    </row>
    <row r="71" spans="1:2" ht="18" customHeight="1" x14ac:dyDescent="0.3">
      <c r="A71" s="2" t="s">
        <v>663</v>
      </c>
      <c r="B71" s="5" t="s">
        <v>664</v>
      </c>
    </row>
    <row r="72" spans="1:2" ht="18" customHeight="1" x14ac:dyDescent="0.3">
      <c r="A72" s="2" t="s">
        <v>665</v>
      </c>
      <c r="B72" s="5" t="s">
        <v>666</v>
      </c>
    </row>
    <row r="73" spans="1:2" ht="18" customHeight="1" x14ac:dyDescent="0.3">
      <c r="A73" s="2" t="s">
        <v>667</v>
      </c>
      <c r="B73" s="5" t="s">
        <v>668</v>
      </c>
    </row>
    <row r="74" spans="1:2" ht="18" customHeight="1" x14ac:dyDescent="0.3">
      <c r="A74" s="2" t="s">
        <v>669</v>
      </c>
      <c r="B74" s="5" t="s">
        <v>1</v>
      </c>
    </row>
  </sheetData>
  <mergeCells count="2">
    <mergeCell ref="A1:E1"/>
    <mergeCell ref="A2:E2"/>
  </mergeCells>
  <pageMargins left="0.25" right="0.25" top="0.5" bottom="0.5" header="0.3" footer="0.3"/>
  <pageSetup paperSize="9" fitToHeight="0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458"/>
  <sheetViews>
    <sheetView workbookViewId="0">
      <pane ySplit="1" topLeftCell="A2" activePane="bottomLeft" state="frozen"/>
      <selection pane="bottomLeft" sqref="A1:E1"/>
    </sheetView>
  </sheetViews>
  <sheetFormatPr defaultRowHeight="14.4" x14ac:dyDescent="0.3"/>
  <cols>
    <col min="1" max="1" width="8" customWidth="1"/>
    <col min="2" max="2" width="120" customWidth="1"/>
    <col min="3" max="5" width="20" customWidth="1"/>
  </cols>
  <sheetData>
    <row r="1" spans="1:5" ht="28.05" customHeight="1" x14ac:dyDescent="0.3">
      <c r="A1" s="6" t="s">
        <v>0</v>
      </c>
      <c r="B1" s="7"/>
      <c r="C1" s="7"/>
      <c r="D1" s="7"/>
      <c r="E1" s="7"/>
    </row>
    <row r="2" spans="1:5" ht="22.05" customHeight="1" x14ac:dyDescent="0.3">
      <c r="A2" s="8" t="s">
        <v>670</v>
      </c>
      <c r="B2" s="7"/>
      <c r="C2" s="7"/>
      <c r="D2" s="7"/>
      <c r="E2" s="7"/>
    </row>
    <row r="3" spans="1:5" ht="7.95" customHeight="1" x14ac:dyDescent="0.3">
      <c r="A3" t="s">
        <v>1</v>
      </c>
    </row>
    <row r="4" spans="1:5" ht="22.05" customHeight="1" x14ac:dyDescent="0.3">
      <c r="A4" s="1" t="s">
        <v>557</v>
      </c>
      <c r="B4" s="1" t="s">
        <v>558</v>
      </c>
    </row>
    <row r="5" spans="1:5" ht="18" customHeight="1" x14ac:dyDescent="0.3">
      <c r="A5" s="2" t="s">
        <v>21</v>
      </c>
      <c r="B5" s="5" t="s">
        <v>671</v>
      </c>
    </row>
    <row r="6" spans="1:5" ht="18" customHeight="1" x14ac:dyDescent="0.3">
      <c r="A6" s="2" t="s">
        <v>23</v>
      </c>
      <c r="B6" s="5" t="s">
        <v>672</v>
      </c>
    </row>
    <row r="7" spans="1:5" ht="18" customHeight="1" x14ac:dyDescent="0.3">
      <c r="A7" s="2" t="s">
        <v>24</v>
      </c>
      <c r="B7" s="5" t="s">
        <v>673</v>
      </c>
    </row>
    <row r="8" spans="1:5" ht="18" customHeight="1" x14ac:dyDescent="0.3">
      <c r="A8" s="2" t="s">
        <v>25</v>
      </c>
      <c r="B8" s="5" t="s">
        <v>674</v>
      </c>
    </row>
    <row r="9" spans="1:5" ht="18" customHeight="1" x14ac:dyDescent="0.3">
      <c r="A9" s="2" t="s">
        <v>26</v>
      </c>
      <c r="B9" s="5" t="s">
        <v>675</v>
      </c>
    </row>
    <row r="10" spans="1:5" ht="18" customHeight="1" x14ac:dyDescent="0.3">
      <c r="A10" s="2" t="s">
        <v>27</v>
      </c>
      <c r="B10" s="5" t="s">
        <v>676</v>
      </c>
    </row>
    <row r="11" spans="1:5" ht="18" customHeight="1" x14ac:dyDescent="0.3">
      <c r="A11" s="2" t="s">
        <v>28</v>
      </c>
      <c r="B11" s="5" t="s">
        <v>677</v>
      </c>
    </row>
    <row r="12" spans="1:5" ht="18" customHeight="1" x14ac:dyDescent="0.3">
      <c r="A12" s="2" t="s">
        <v>29</v>
      </c>
      <c r="B12" s="5" t="s">
        <v>678</v>
      </c>
    </row>
    <row r="13" spans="1:5" ht="18" customHeight="1" x14ac:dyDescent="0.3">
      <c r="A13" s="2" t="s">
        <v>30</v>
      </c>
      <c r="B13" s="5" t="s">
        <v>679</v>
      </c>
    </row>
    <row r="14" spans="1:5" ht="18" customHeight="1" x14ac:dyDescent="0.3">
      <c r="A14" s="2" t="s">
        <v>31</v>
      </c>
      <c r="B14" s="5" t="s">
        <v>680</v>
      </c>
    </row>
    <row r="15" spans="1:5" ht="18" customHeight="1" x14ac:dyDescent="0.3">
      <c r="A15" s="2" t="s">
        <v>32</v>
      </c>
      <c r="B15" s="5" t="s">
        <v>681</v>
      </c>
    </row>
    <row r="16" spans="1:5" ht="18" customHeight="1" x14ac:dyDescent="0.3">
      <c r="A16" s="2" t="s">
        <v>34</v>
      </c>
      <c r="B16" s="5" t="s">
        <v>682</v>
      </c>
    </row>
    <row r="17" spans="1:2" ht="18" customHeight="1" x14ac:dyDescent="0.3">
      <c r="A17" s="2" t="s">
        <v>141</v>
      </c>
      <c r="B17" s="5" t="s">
        <v>683</v>
      </c>
    </row>
    <row r="18" spans="1:2" ht="18" customHeight="1" x14ac:dyDescent="0.3">
      <c r="A18" s="2" t="s">
        <v>145</v>
      </c>
      <c r="B18" s="5" t="s">
        <v>684</v>
      </c>
    </row>
    <row r="19" spans="1:2" ht="18" customHeight="1" x14ac:dyDescent="0.3">
      <c r="A19" s="2" t="s">
        <v>213</v>
      </c>
      <c r="B19" s="5" t="s">
        <v>685</v>
      </c>
    </row>
    <row r="20" spans="1:2" ht="18" customHeight="1" x14ac:dyDescent="0.3">
      <c r="A20" s="2" t="s">
        <v>216</v>
      </c>
      <c r="B20" s="5" t="s">
        <v>1</v>
      </c>
    </row>
    <row r="21" spans="1:2" ht="18" customHeight="1" x14ac:dyDescent="0.3">
      <c r="A21" s="2" t="s">
        <v>219</v>
      </c>
      <c r="B21" s="5" t="s">
        <v>686</v>
      </c>
    </row>
    <row r="22" spans="1:2" ht="18" customHeight="1" x14ac:dyDescent="0.3">
      <c r="A22" s="2" t="s">
        <v>222</v>
      </c>
      <c r="B22" s="5" t="s">
        <v>687</v>
      </c>
    </row>
    <row r="23" spans="1:2" ht="18" customHeight="1" x14ac:dyDescent="0.3">
      <c r="A23" s="2" t="s">
        <v>223</v>
      </c>
      <c r="B23" s="5" t="s">
        <v>688</v>
      </c>
    </row>
    <row r="24" spans="1:2" ht="18" customHeight="1" x14ac:dyDescent="0.3">
      <c r="A24" s="2" t="s">
        <v>576</v>
      </c>
      <c r="B24" s="5" t="s">
        <v>689</v>
      </c>
    </row>
    <row r="25" spans="1:2" ht="18" customHeight="1" x14ac:dyDescent="0.3">
      <c r="A25" s="2" t="s">
        <v>578</v>
      </c>
      <c r="B25" s="5" t="s">
        <v>690</v>
      </c>
    </row>
    <row r="26" spans="1:2" ht="18" customHeight="1" x14ac:dyDescent="0.3">
      <c r="A26" s="2" t="s">
        <v>580</v>
      </c>
      <c r="B26" s="5" t="s">
        <v>691</v>
      </c>
    </row>
    <row r="27" spans="1:2" ht="18" customHeight="1" x14ac:dyDescent="0.3">
      <c r="A27" s="2" t="s">
        <v>582</v>
      </c>
      <c r="B27" s="5" t="s">
        <v>685</v>
      </c>
    </row>
    <row r="28" spans="1:2" ht="18" customHeight="1" x14ac:dyDescent="0.3">
      <c r="A28" s="2" t="s">
        <v>584</v>
      </c>
      <c r="B28" s="5" t="s">
        <v>1</v>
      </c>
    </row>
    <row r="29" spans="1:2" ht="18" customHeight="1" x14ac:dyDescent="0.3">
      <c r="A29" s="2" t="s">
        <v>585</v>
      </c>
      <c r="B29" s="5" t="s">
        <v>692</v>
      </c>
    </row>
    <row r="30" spans="1:2" ht="18" customHeight="1" x14ac:dyDescent="0.3">
      <c r="A30" s="2" t="s">
        <v>586</v>
      </c>
      <c r="B30" s="5" t="s">
        <v>687</v>
      </c>
    </row>
    <row r="31" spans="1:2" ht="18" customHeight="1" x14ac:dyDescent="0.3">
      <c r="A31" s="2" t="s">
        <v>588</v>
      </c>
      <c r="B31" s="5" t="s">
        <v>688</v>
      </c>
    </row>
    <row r="32" spans="1:2" ht="18" customHeight="1" x14ac:dyDescent="0.3">
      <c r="A32" s="2" t="s">
        <v>590</v>
      </c>
      <c r="B32" s="5" t="s">
        <v>693</v>
      </c>
    </row>
    <row r="33" spans="1:2" ht="18" customHeight="1" x14ac:dyDescent="0.3">
      <c r="A33" s="2" t="s">
        <v>592</v>
      </c>
      <c r="B33" s="5" t="s">
        <v>689</v>
      </c>
    </row>
    <row r="34" spans="1:2" ht="18" customHeight="1" x14ac:dyDescent="0.3">
      <c r="A34" s="2" t="s">
        <v>594</v>
      </c>
      <c r="B34" s="5" t="s">
        <v>690</v>
      </c>
    </row>
    <row r="35" spans="1:2" ht="18" customHeight="1" x14ac:dyDescent="0.3">
      <c r="A35" s="2" t="s">
        <v>595</v>
      </c>
      <c r="B35" s="5" t="s">
        <v>685</v>
      </c>
    </row>
    <row r="36" spans="1:2" ht="18" customHeight="1" x14ac:dyDescent="0.3">
      <c r="A36" s="2" t="s">
        <v>597</v>
      </c>
      <c r="B36" s="5" t="s">
        <v>1</v>
      </c>
    </row>
    <row r="37" spans="1:2" ht="18" customHeight="1" x14ac:dyDescent="0.3">
      <c r="A37" s="2" t="s">
        <v>599</v>
      </c>
      <c r="B37" s="5" t="s">
        <v>694</v>
      </c>
    </row>
    <row r="38" spans="1:2" ht="18" customHeight="1" x14ac:dyDescent="0.3">
      <c r="A38" s="2" t="s">
        <v>601</v>
      </c>
      <c r="B38" s="5" t="s">
        <v>687</v>
      </c>
    </row>
    <row r="39" spans="1:2" ht="18" customHeight="1" x14ac:dyDescent="0.3">
      <c r="A39" s="2" t="s">
        <v>603</v>
      </c>
      <c r="B39" s="5" t="s">
        <v>688</v>
      </c>
    </row>
    <row r="40" spans="1:2" ht="18" customHeight="1" x14ac:dyDescent="0.3">
      <c r="A40" s="2" t="s">
        <v>605</v>
      </c>
      <c r="B40" s="5" t="s">
        <v>689</v>
      </c>
    </row>
    <row r="41" spans="1:2" ht="18" customHeight="1" x14ac:dyDescent="0.3">
      <c r="A41" s="2" t="s">
        <v>607</v>
      </c>
      <c r="B41" s="5" t="s">
        <v>690</v>
      </c>
    </row>
    <row r="42" spans="1:2" ht="18" customHeight="1" x14ac:dyDescent="0.3">
      <c r="A42" s="2" t="s">
        <v>608</v>
      </c>
      <c r="B42" s="5" t="s">
        <v>685</v>
      </c>
    </row>
    <row r="43" spans="1:2" ht="18" customHeight="1" x14ac:dyDescent="0.3">
      <c r="A43" s="2" t="s">
        <v>610</v>
      </c>
      <c r="B43" s="5" t="s">
        <v>1</v>
      </c>
    </row>
    <row r="44" spans="1:2" ht="18" customHeight="1" x14ac:dyDescent="0.3">
      <c r="A44" s="2" t="s">
        <v>612</v>
      </c>
      <c r="B44" s="5" t="s">
        <v>695</v>
      </c>
    </row>
    <row r="45" spans="1:2" ht="18" customHeight="1" x14ac:dyDescent="0.3">
      <c r="A45" s="2" t="s">
        <v>614</v>
      </c>
      <c r="B45" s="5" t="s">
        <v>687</v>
      </c>
    </row>
    <row r="46" spans="1:2" ht="18" customHeight="1" x14ac:dyDescent="0.3">
      <c r="A46" s="2" t="s">
        <v>616</v>
      </c>
      <c r="B46" s="5" t="s">
        <v>688</v>
      </c>
    </row>
    <row r="47" spans="1:2" ht="18" customHeight="1" x14ac:dyDescent="0.3">
      <c r="A47" s="2" t="s">
        <v>618</v>
      </c>
      <c r="B47" s="5" t="s">
        <v>693</v>
      </c>
    </row>
    <row r="48" spans="1:2" ht="18" customHeight="1" x14ac:dyDescent="0.3">
      <c r="A48" s="2" t="s">
        <v>620</v>
      </c>
      <c r="B48" s="5" t="s">
        <v>689</v>
      </c>
    </row>
    <row r="49" spans="1:2" ht="18" customHeight="1" x14ac:dyDescent="0.3">
      <c r="A49" s="2" t="s">
        <v>622</v>
      </c>
      <c r="B49" s="5" t="s">
        <v>696</v>
      </c>
    </row>
    <row r="50" spans="1:2" ht="18" customHeight="1" x14ac:dyDescent="0.3">
      <c r="A50" s="2" t="s">
        <v>624</v>
      </c>
      <c r="B50" s="5" t="s">
        <v>685</v>
      </c>
    </row>
    <row r="51" spans="1:2" ht="18" customHeight="1" x14ac:dyDescent="0.3">
      <c r="A51" s="2" t="s">
        <v>626</v>
      </c>
      <c r="B51" s="5" t="s">
        <v>1</v>
      </c>
    </row>
    <row r="52" spans="1:2" ht="18" customHeight="1" x14ac:dyDescent="0.3">
      <c r="A52" s="2" t="s">
        <v>628</v>
      </c>
      <c r="B52" s="5" t="s">
        <v>697</v>
      </c>
    </row>
    <row r="53" spans="1:2" ht="18" customHeight="1" x14ac:dyDescent="0.3">
      <c r="A53" s="2" t="s">
        <v>630</v>
      </c>
      <c r="B53" s="5" t="s">
        <v>673</v>
      </c>
    </row>
    <row r="54" spans="1:2" ht="18" customHeight="1" x14ac:dyDescent="0.3">
      <c r="A54" s="2" t="s">
        <v>632</v>
      </c>
      <c r="B54" s="5" t="s">
        <v>698</v>
      </c>
    </row>
    <row r="55" spans="1:2" ht="18" customHeight="1" x14ac:dyDescent="0.3">
      <c r="A55" s="2" t="s">
        <v>633</v>
      </c>
      <c r="B55" s="5" t="s">
        <v>699</v>
      </c>
    </row>
    <row r="56" spans="1:2" ht="18" customHeight="1" x14ac:dyDescent="0.3">
      <c r="A56" s="2" t="s">
        <v>635</v>
      </c>
      <c r="B56" s="5" t="s">
        <v>700</v>
      </c>
    </row>
    <row r="57" spans="1:2" ht="18" customHeight="1" x14ac:dyDescent="0.3">
      <c r="A57" s="2" t="s">
        <v>637</v>
      </c>
      <c r="B57" s="5" t="s">
        <v>701</v>
      </c>
    </row>
    <row r="58" spans="1:2" ht="18" customHeight="1" x14ac:dyDescent="0.3">
      <c r="A58" s="2" t="s">
        <v>639</v>
      </c>
      <c r="B58" s="5" t="s">
        <v>702</v>
      </c>
    </row>
    <row r="59" spans="1:2" ht="18" customHeight="1" x14ac:dyDescent="0.3">
      <c r="A59" s="2" t="s">
        <v>641</v>
      </c>
      <c r="B59" s="5" t="s">
        <v>685</v>
      </c>
    </row>
    <row r="60" spans="1:2" ht="18" customHeight="1" x14ac:dyDescent="0.3">
      <c r="A60" s="2" t="s">
        <v>643</v>
      </c>
      <c r="B60" s="5" t="s">
        <v>1</v>
      </c>
    </row>
    <row r="61" spans="1:2" ht="18" customHeight="1" x14ac:dyDescent="0.3">
      <c r="A61" s="2" t="s">
        <v>645</v>
      </c>
      <c r="B61" s="5" t="s">
        <v>703</v>
      </c>
    </row>
    <row r="62" spans="1:2" ht="18" customHeight="1" x14ac:dyDescent="0.3">
      <c r="A62" s="2" t="s">
        <v>647</v>
      </c>
      <c r="B62" s="5" t="s">
        <v>673</v>
      </c>
    </row>
    <row r="63" spans="1:2" ht="18" customHeight="1" x14ac:dyDescent="0.3">
      <c r="A63" s="2" t="s">
        <v>648</v>
      </c>
      <c r="B63" s="5" t="s">
        <v>704</v>
      </c>
    </row>
    <row r="64" spans="1:2" ht="18" customHeight="1" x14ac:dyDescent="0.3">
      <c r="A64" s="2" t="s">
        <v>650</v>
      </c>
      <c r="B64" s="5" t="s">
        <v>705</v>
      </c>
    </row>
    <row r="65" spans="1:2" ht="18" customHeight="1" x14ac:dyDescent="0.3">
      <c r="A65" s="2" t="s">
        <v>652</v>
      </c>
      <c r="B65" s="5" t="s">
        <v>699</v>
      </c>
    </row>
    <row r="66" spans="1:2" ht="18" customHeight="1" x14ac:dyDescent="0.3">
      <c r="A66" s="2" t="s">
        <v>654</v>
      </c>
      <c r="B66" s="5" t="s">
        <v>706</v>
      </c>
    </row>
    <row r="67" spans="1:2" ht="18" customHeight="1" x14ac:dyDescent="0.3">
      <c r="A67" s="2" t="s">
        <v>656</v>
      </c>
      <c r="B67" s="5" t="s">
        <v>700</v>
      </c>
    </row>
    <row r="68" spans="1:2" ht="18" customHeight="1" x14ac:dyDescent="0.3">
      <c r="A68" s="2" t="s">
        <v>658</v>
      </c>
      <c r="B68" s="5" t="s">
        <v>707</v>
      </c>
    </row>
    <row r="69" spans="1:2" ht="18" customHeight="1" x14ac:dyDescent="0.3">
      <c r="A69" s="2" t="s">
        <v>659</v>
      </c>
      <c r="B69" s="5" t="s">
        <v>708</v>
      </c>
    </row>
    <row r="70" spans="1:2" ht="18" customHeight="1" x14ac:dyDescent="0.3">
      <c r="A70" s="2" t="s">
        <v>661</v>
      </c>
      <c r="B70" s="5" t="s">
        <v>709</v>
      </c>
    </row>
    <row r="71" spans="1:2" ht="18" customHeight="1" x14ac:dyDescent="0.3">
      <c r="A71" s="2" t="s">
        <v>663</v>
      </c>
      <c r="B71" s="5" t="s">
        <v>710</v>
      </c>
    </row>
    <row r="72" spans="1:2" ht="18" customHeight="1" x14ac:dyDescent="0.3">
      <c r="A72" s="2" t="s">
        <v>665</v>
      </c>
      <c r="B72" s="5" t="s">
        <v>711</v>
      </c>
    </row>
    <row r="73" spans="1:2" ht="18" customHeight="1" x14ac:dyDescent="0.3">
      <c r="A73" s="2" t="s">
        <v>667</v>
      </c>
      <c r="B73" s="5" t="s">
        <v>712</v>
      </c>
    </row>
    <row r="74" spans="1:2" ht="18" customHeight="1" x14ac:dyDescent="0.3">
      <c r="A74" s="2" t="s">
        <v>669</v>
      </c>
      <c r="B74" s="5" t="s">
        <v>713</v>
      </c>
    </row>
    <row r="75" spans="1:2" ht="18" customHeight="1" x14ac:dyDescent="0.3">
      <c r="A75" s="2" t="s">
        <v>714</v>
      </c>
      <c r="B75" s="5" t="s">
        <v>702</v>
      </c>
    </row>
    <row r="76" spans="1:2" ht="18" customHeight="1" x14ac:dyDescent="0.3">
      <c r="A76" s="2" t="s">
        <v>715</v>
      </c>
      <c r="B76" s="5" t="s">
        <v>685</v>
      </c>
    </row>
    <row r="77" spans="1:2" ht="18" customHeight="1" x14ac:dyDescent="0.3">
      <c r="A77" s="2" t="s">
        <v>716</v>
      </c>
      <c r="B77" s="5" t="s">
        <v>1</v>
      </c>
    </row>
    <row r="78" spans="1:2" ht="18" customHeight="1" x14ac:dyDescent="0.3">
      <c r="A78" s="2" t="s">
        <v>717</v>
      </c>
      <c r="B78" s="5" t="s">
        <v>718</v>
      </c>
    </row>
    <row r="79" spans="1:2" ht="18" customHeight="1" x14ac:dyDescent="0.3">
      <c r="A79" s="2" t="s">
        <v>719</v>
      </c>
      <c r="B79" s="5" t="s">
        <v>673</v>
      </c>
    </row>
    <row r="80" spans="1:2" ht="18" customHeight="1" x14ac:dyDescent="0.3">
      <c r="A80" s="2" t="s">
        <v>720</v>
      </c>
      <c r="B80" s="5" t="s">
        <v>705</v>
      </c>
    </row>
    <row r="81" spans="1:2" ht="18" customHeight="1" x14ac:dyDescent="0.3">
      <c r="A81" s="2" t="s">
        <v>721</v>
      </c>
      <c r="B81" s="5" t="s">
        <v>699</v>
      </c>
    </row>
    <row r="82" spans="1:2" ht="18" customHeight="1" x14ac:dyDescent="0.3">
      <c r="A82" s="2" t="s">
        <v>722</v>
      </c>
      <c r="B82" s="5" t="s">
        <v>723</v>
      </c>
    </row>
    <row r="83" spans="1:2" ht="18" customHeight="1" x14ac:dyDescent="0.3">
      <c r="A83" s="2" t="s">
        <v>724</v>
      </c>
      <c r="B83" s="5" t="s">
        <v>725</v>
      </c>
    </row>
    <row r="84" spans="1:2" ht="18" customHeight="1" x14ac:dyDescent="0.3">
      <c r="A84" s="2" t="s">
        <v>726</v>
      </c>
      <c r="B84" s="5" t="s">
        <v>712</v>
      </c>
    </row>
    <row r="85" spans="1:2" ht="18" customHeight="1" x14ac:dyDescent="0.3">
      <c r="A85" s="2" t="s">
        <v>727</v>
      </c>
      <c r="B85" s="5" t="s">
        <v>677</v>
      </c>
    </row>
    <row r="86" spans="1:2" ht="18" customHeight="1" x14ac:dyDescent="0.3">
      <c r="A86" s="2" t="s">
        <v>728</v>
      </c>
      <c r="B86" s="5" t="s">
        <v>729</v>
      </c>
    </row>
    <row r="87" spans="1:2" ht="18" customHeight="1" x14ac:dyDescent="0.3">
      <c r="A87" s="2" t="s">
        <v>730</v>
      </c>
      <c r="B87" s="5" t="s">
        <v>731</v>
      </c>
    </row>
    <row r="88" spans="1:2" ht="18" customHeight="1" x14ac:dyDescent="0.3">
      <c r="A88" s="2" t="s">
        <v>732</v>
      </c>
      <c r="B88" s="5" t="s">
        <v>733</v>
      </c>
    </row>
    <row r="89" spans="1:2" ht="18" customHeight="1" x14ac:dyDescent="0.3">
      <c r="A89" s="2" t="s">
        <v>734</v>
      </c>
      <c r="B89" s="5" t="s">
        <v>682</v>
      </c>
    </row>
    <row r="90" spans="1:2" ht="18" customHeight="1" x14ac:dyDescent="0.3">
      <c r="A90" s="2" t="s">
        <v>735</v>
      </c>
      <c r="B90" s="5" t="s">
        <v>683</v>
      </c>
    </row>
    <row r="91" spans="1:2" ht="18" customHeight="1" x14ac:dyDescent="0.3">
      <c r="A91" s="2" t="s">
        <v>736</v>
      </c>
      <c r="B91" s="5" t="s">
        <v>685</v>
      </c>
    </row>
    <row r="92" spans="1:2" ht="18" customHeight="1" x14ac:dyDescent="0.3">
      <c r="A92" s="2" t="s">
        <v>737</v>
      </c>
      <c r="B92" s="5" t="s">
        <v>1</v>
      </c>
    </row>
    <row r="93" spans="1:2" ht="18" customHeight="1" x14ac:dyDescent="0.3">
      <c r="A93" s="2" t="s">
        <v>738</v>
      </c>
      <c r="B93" s="5" t="s">
        <v>739</v>
      </c>
    </row>
    <row r="94" spans="1:2" ht="18" customHeight="1" x14ac:dyDescent="0.3">
      <c r="A94" s="2" t="s">
        <v>740</v>
      </c>
      <c r="B94" s="5" t="s">
        <v>673</v>
      </c>
    </row>
    <row r="95" spans="1:2" ht="18" customHeight="1" x14ac:dyDescent="0.3">
      <c r="A95" s="2" t="s">
        <v>741</v>
      </c>
      <c r="B95" s="5" t="s">
        <v>705</v>
      </c>
    </row>
    <row r="96" spans="1:2" ht="18" customHeight="1" x14ac:dyDescent="0.3">
      <c r="A96" s="2" t="s">
        <v>742</v>
      </c>
      <c r="B96" s="5" t="s">
        <v>699</v>
      </c>
    </row>
    <row r="97" spans="1:2" ht="18" customHeight="1" x14ac:dyDescent="0.3">
      <c r="A97" s="2" t="s">
        <v>743</v>
      </c>
      <c r="B97" s="5" t="s">
        <v>723</v>
      </c>
    </row>
    <row r="98" spans="1:2" ht="18" customHeight="1" x14ac:dyDescent="0.3">
      <c r="A98" s="2" t="s">
        <v>744</v>
      </c>
      <c r="B98" s="5" t="s">
        <v>745</v>
      </c>
    </row>
    <row r="99" spans="1:2" ht="18" customHeight="1" x14ac:dyDescent="0.3">
      <c r="A99" s="2" t="s">
        <v>746</v>
      </c>
      <c r="B99" s="5" t="s">
        <v>747</v>
      </c>
    </row>
    <row r="100" spans="1:2" ht="18" customHeight="1" x14ac:dyDescent="0.3">
      <c r="A100" s="2" t="s">
        <v>748</v>
      </c>
      <c r="B100" s="5" t="s">
        <v>712</v>
      </c>
    </row>
    <row r="101" spans="1:2" ht="18" customHeight="1" x14ac:dyDescent="0.3">
      <c r="A101" s="2" t="s">
        <v>749</v>
      </c>
      <c r="B101" s="5" t="s">
        <v>677</v>
      </c>
    </row>
    <row r="102" spans="1:2" ht="18" customHeight="1" x14ac:dyDescent="0.3">
      <c r="A102" s="2" t="s">
        <v>750</v>
      </c>
      <c r="B102" s="5" t="s">
        <v>729</v>
      </c>
    </row>
    <row r="103" spans="1:2" ht="18" customHeight="1" x14ac:dyDescent="0.3">
      <c r="A103" s="2" t="s">
        <v>751</v>
      </c>
      <c r="B103" s="5" t="s">
        <v>733</v>
      </c>
    </row>
    <row r="104" spans="1:2" ht="18" customHeight="1" x14ac:dyDescent="0.3">
      <c r="A104" s="2" t="s">
        <v>752</v>
      </c>
      <c r="B104" s="5" t="s">
        <v>753</v>
      </c>
    </row>
    <row r="105" spans="1:2" ht="18" customHeight="1" x14ac:dyDescent="0.3">
      <c r="A105" s="2" t="s">
        <v>754</v>
      </c>
      <c r="B105" s="5" t="s">
        <v>755</v>
      </c>
    </row>
    <row r="106" spans="1:2" ht="18" customHeight="1" x14ac:dyDescent="0.3">
      <c r="A106" s="2" t="s">
        <v>756</v>
      </c>
      <c r="B106" s="5" t="s">
        <v>682</v>
      </c>
    </row>
    <row r="107" spans="1:2" ht="18" customHeight="1" x14ac:dyDescent="0.3">
      <c r="A107" s="2" t="s">
        <v>757</v>
      </c>
      <c r="B107" s="5" t="s">
        <v>683</v>
      </c>
    </row>
    <row r="108" spans="1:2" ht="18" customHeight="1" x14ac:dyDescent="0.3">
      <c r="A108" s="2" t="s">
        <v>758</v>
      </c>
      <c r="B108" s="5" t="s">
        <v>685</v>
      </c>
    </row>
    <row r="109" spans="1:2" ht="18" customHeight="1" x14ac:dyDescent="0.3">
      <c r="A109" s="2" t="s">
        <v>759</v>
      </c>
      <c r="B109" s="5" t="s">
        <v>1</v>
      </c>
    </row>
    <row r="110" spans="1:2" ht="18" customHeight="1" x14ac:dyDescent="0.3">
      <c r="A110" s="2" t="s">
        <v>760</v>
      </c>
      <c r="B110" s="5" t="s">
        <v>761</v>
      </c>
    </row>
    <row r="111" spans="1:2" ht="18" customHeight="1" x14ac:dyDescent="0.3">
      <c r="A111" s="2" t="s">
        <v>762</v>
      </c>
      <c r="B111" s="5" t="s">
        <v>673</v>
      </c>
    </row>
    <row r="112" spans="1:2" ht="18" customHeight="1" x14ac:dyDescent="0.3">
      <c r="A112" s="2" t="s">
        <v>763</v>
      </c>
      <c r="B112" s="5" t="s">
        <v>764</v>
      </c>
    </row>
    <row r="113" spans="1:2" ht="18" customHeight="1" x14ac:dyDescent="0.3">
      <c r="A113" s="2" t="s">
        <v>765</v>
      </c>
      <c r="B113" s="5" t="s">
        <v>766</v>
      </c>
    </row>
    <row r="114" spans="1:2" ht="18" customHeight="1" x14ac:dyDescent="0.3">
      <c r="A114" s="2" t="s">
        <v>767</v>
      </c>
      <c r="B114" s="5" t="s">
        <v>747</v>
      </c>
    </row>
    <row r="115" spans="1:2" ht="18" customHeight="1" x14ac:dyDescent="0.3">
      <c r="A115" s="2" t="s">
        <v>768</v>
      </c>
      <c r="B115" s="5" t="s">
        <v>769</v>
      </c>
    </row>
    <row r="116" spans="1:2" ht="18" customHeight="1" x14ac:dyDescent="0.3">
      <c r="A116" s="2" t="s">
        <v>770</v>
      </c>
      <c r="B116" s="5" t="s">
        <v>713</v>
      </c>
    </row>
    <row r="117" spans="1:2" ht="18" customHeight="1" x14ac:dyDescent="0.3">
      <c r="A117" s="2" t="s">
        <v>771</v>
      </c>
      <c r="B117" s="5" t="s">
        <v>702</v>
      </c>
    </row>
    <row r="118" spans="1:2" ht="18" customHeight="1" x14ac:dyDescent="0.3">
      <c r="A118" s="2" t="s">
        <v>772</v>
      </c>
      <c r="B118" s="5" t="s">
        <v>685</v>
      </c>
    </row>
    <row r="119" spans="1:2" ht="18" customHeight="1" x14ac:dyDescent="0.3">
      <c r="A119" s="2" t="s">
        <v>773</v>
      </c>
      <c r="B119" s="5" t="s">
        <v>1</v>
      </c>
    </row>
    <row r="120" spans="1:2" ht="18" customHeight="1" x14ac:dyDescent="0.3">
      <c r="A120" s="2" t="s">
        <v>774</v>
      </c>
      <c r="B120" s="5" t="s">
        <v>775</v>
      </c>
    </row>
    <row r="121" spans="1:2" ht="18" customHeight="1" x14ac:dyDescent="0.3">
      <c r="A121" s="2" t="s">
        <v>776</v>
      </c>
      <c r="B121" s="5" t="s">
        <v>673</v>
      </c>
    </row>
    <row r="122" spans="1:2" ht="18" customHeight="1" x14ac:dyDescent="0.3">
      <c r="A122" s="2" t="s">
        <v>777</v>
      </c>
      <c r="B122" s="5" t="s">
        <v>778</v>
      </c>
    </row>
    <row r="123" spans="1:2" ht="18" customHeight="1" x14ac:dyDescent="0.3">
      <c r="A123" s="2" t="s">
        <v>779</v>
      </c>
      <c r="B123" s="5" t="s">
        <v>764</v>
      </c>
    </row>
    <row r="124" spans="1:2" ht="18" customHeight="1" x14ac:dyDescent="0.3">
      <c r="A124" s="2" t="s">
        <v>780</v>
      </c>
      <c r="B124" s="5" t="s">
        <v>679</v>
      </c>
    </row>
    <row r="125" spans="1:2" ht="18" customHeight="1" x14ac:dyDescent="0.3">
      <c r="A125" s="2" t="s">
        <v>781</v>
      </c>
      <c r="B125" s="5" t="s">
        <v>782</v>
      </c>
    </row>
    <row r="126" spans="1:2" ht="18" customHeight="1" x14ac:dyDescent="0.3">
      <c r="A126" s="2" t="s">
        <v>783</v>
      </c>
      <c r="B126" s="5" t="s">
        <v>784</v>
      </c>
    </row>
    <row r="127" spans="1:2" ht="18" customHeight="1" x14ac:dyDescent="0.3">
      <c r="A127" s="2" t="s">
        <v>785</v>
      </c>
      <c r="B127" s="5" t="s">
        <v>786</v>
      </c>
    </row>
    <row r="128" spans="1:2" ht="18" customHeight="1" x14ac:dyDescent="0.3">
      <c r="A128" s="2" t="s">
        <v>787</v>
      </c>
      <c r="B128" s="5" t="s">
        <v>725</v>
      </c>
    </row>
    <row r="129" spans="1:2" ht="18" customHeight="1" x14ac:dyDescent="0.3">
      <c r="A129" s="2" t="s">
        <v>788</v>
      </c>
      <c r="B129" s="5" t="s">
        <v>789</v>
      </c>
    </row>
    <row r="130" spans="1:2" ht="18" customHeight="1" x14ac:dyDescent="0.3">
      <c r="A130" s="2" t="s">
        <v>790</v>
      </c>
      <c r="B130" s="5" t="s">
        <v>711</v>
      </c>
    </row>
    <row r="131" spans="1:2" ht="18" customHeight="1" x14ac:dyDescent="0.3">
      <c r="A131" s="2" t="s">
        <v>791</v>
      </c>
      <c r="B131" s="5" t="s">
        <v>792</v>
      </c>
    </row>
    <row r="132" spans="1:2" ht="18" customHeight="1" x14ac:dyDescent="0.3">
      <c r="A132" s="2" t="s">
        <v>793</v>
      </c>
      <c r="B132" s="5" t="s">
        <v>677</v>
      </c>
    </row>
    <row r="133" spans="1:2" ht="18" customHeight="1" x14ac:dyDescent="0.3">
      <c r="A133" s="2" t="s">
        <v>794</v>
      </c>
      <c r="B133" s="5" t="s">
        <v>795</v>
      </c>
    </row>
    <row r="134" spans="1:2" ht="18" customHeight="1" x14ac:dyDescent="0.3">
      <c r="A134" s="2" t="s">
        <v>796</v>
      </c>
      <c r="B134" s="5" t="s">
        <v>797</v>
      </c>
    </row>
    <row r="135" spans="1:2" ht="18" customHeight="1" x14ac:dyDescent="0.3">
      <c r="A135" s="2" t="s">
        <v>798</v>
      </c>
      <c r="B135" s="5" t="s">
        <v>799</v>
      </c>
    </row>
    <row r="136" spans="1:2" ht="18" customHeight="1" x14ac:dyDescent="0.3">
      <c r="A136" s="2" t="s">
        <v>800</v>
      </c>
      <c r="B136" s="5" t="s">
        <v>801</v>
      </c>
    </row>
    <row r="137" spans="1:2" ht="18" customHeight="1" x14ac:dyDescent="0.3">
      <c r="A137" s="2" t="s">
        <v>802</v>
      </c>
      <c r="B137" s="5" t="s">
        <v>803</v>
      </c>
    </row>
    <row r="138" spans="1:2" ht="18" customHeight="1" x14ac:dyDescent="0.3">
      <c r="A138" s="2" t="s">
        <v>804</v>
      </c>
      <c r="B138" s="5" t="s">
        <v>682</v>
      </c>
    </row>
    <row r="139" spans="1:2" ht="18" customHeight="1" x14ac:dyDescent="0.3">
      <c r="A139" s="2" t="s">
        <v>805</v>
      </c>
      <c r="B139" s="5" t="s">
        <v>683</v>
      </c>
    </row>
    <row r="140" spans="1:2" ht="18" customHeight="1" x14ac:dyDescent="0.3">
      <c r="A140" s="2" t="s">
        <v>806</v>
      </c>
      <c r="B140" s="5" t="s">
        <v>685</v>
      </c>
    </row>
    <row r="141" spans="1:2" ht="18" customHeight="1" x14ac:dyDescent="0.3">
      <c r="A141" s="2" t="s">
        <v>807</v>
      </c>
      <c r="B141" s="5" t="s">
        <v>1</v>
      </c>
    </row>
    <row r="142" spans="1:2" ht="18" customHeight="1" x14ac:dyDescent="0.3">
      <c r="A142" s="2" t="s">
        <v>808</v>
      </c>
      <c r="B142" s="5" t="s">
        <v>809</v>
      </c>
    </row>
    <row r="143" spans="1:2" ht="18" customHeight="1" x14ac:dyDescent="0.3">
      <c r="A143" s="2" t="s">
        <v>810</v>
      </c>
      <c r="B143" s="5" t="s">
        <v>673</v>
      </c>
    </row>
    <row r="144" spans="1:2" ht="18" customHeight="1" x14ac:dyDescent="0.3">
      <c r="A144" s="2" t="s">
        <v>811</v>
      </c>
      <c r="B144" s="5" t="s">
        <v>698</v>
      </c>
    </row>
    <row r="145" spans="1:2" ht="18" customHeight="1" x14ac:dyDescent="0.3">
      <c r="A145" s="2" t="s">
        <v>812</v>
      </c>
      <c r="B145" s="5" t="s">
        <v>699</v>
      </c>
    </row>
    <row r="146" spans="1:2" ht="18" customHeight="1" x14ac:dyDescent="0.3">
      <c r="A146" s="2" t="s">
        <v>813</v>
      </c>
      <c r="B146" s="5" t="s">
        <v>814</v>
      </c>
    </row>
    <row r="147" spans="1:2" ht="18" customHeight="1" x14ac:dyDescent="0.3">
      <c r="A147" s="2" t="s">
        <v>815</v>
      </c>
      <c r="B147" s="5" t="s">
        <v>677</v>
      </c>
    </row>
    <row r="148" spans="1:2" ht="18" customHeight="1" x14ac:dyDescent="0.3">
      <c r="A148" s="2" t="s">
        <v>816</v>
      </c>
      <c r="B148" s="5" t="s">
        <v>797</v>
      </c>
    </row>
    <row r="149" spans="1:2" ht="18" customHeight="1" x14ac:dyDescent="0.3">
      <c r="A149" s="2" t="s">
        <v>817</v>
      </c>
      <c r="B149" s="5" t="s">
        <v>818</v>
      </c>
    </row>
    <row r="150" spans="1:2" ht="18" customHeight="1" x14ac:dyDescent="0.3">
      <c r="A150" s="2" t="s">
        <v>819</v>
      </c>
      <c r="B150" s="5" t="s">
        <v>820</v>
      </c>
    </row>
    <row r="151" spans="1:2" ht="18" customHeight="1" x14ac:dyDescent="0.3">
      <c r="A151" s="2" t="s">
        <v>821</v>
      </c>
      <c r="B151" s="5" t="s">
        <v>786</v>
      </c>
    </row>
    <row r="152" spans="1:2" ht="18" customHeight="1" x14ac:dyDescent="0.3">
      <c r="A152" s="2" t="s">
        <v>822</v>
      </c>
      <c r="B152" s="5" t="s">
        <v>711</v>
      </c>
    </row>
    <row r="153" spans="1:2" ht="18" customHeight="1" x14ac:dyDescent="0.3">
      <c r="A153" s="2" t="s">
        <v>823</v>
      </c>
      <c r="B153" s="5" t="s">
        <v>725</v>
      </c>
    </row>
    <row r="154" spans="1:2" ht="18" customHeight="1" x14ac:dyDescent="0.3">
      <c r="A154" s="2" t="s">
        <v>824</v>
      </c>
      <c r="B154" s="5" t="s">
        <v>825</v>
      </c>
    </row>
    <row r="155" spans="1:2" ht="18" customHeight="1" x14ac:dyDescent="0.3">
      <c r="A155" s="2" t="s">
        <v>826</v>
      </c>
      <c r="B155" s="5" t="s">
        <v>827</v>
      </c>
    </row>
    <row r="156" spans="1:2" ht="18" customHeight="1" x14ac:dyDescent="0.3">
      <c r="A156" s="2" t="s">
        <v>828</v>
      </c>
      <c r="B156" s="5" t="s">
        <v>829</v>
      </c>
    </row>
    <row r="157" spans="1:2" ht="18" customHeight="1" x14ac:dyDescent="0.3">
      <c r="A157" s="2" t="s">
        <v>830</v>
      </c>
      <c r="B157" s="5" t="s">
        <v>831</v>
      </c>
    </row>
    <row r="158" spans="1:2" ht="18" customHeight="1" x14ac:dyDescent="0.3">
      <c r="A158" s="2" t="s">
        <v>832</v>
      </c>
      <c r="B158" s="5" t="s">
        <v>682</v>
      </c>
    </row>
    <row r="159" spans="1:2" ht="18" customHeight="1" x14ac:dyDescent="0.3">
      <c r="A159" s="2" t="s">
        <v>833</v>
      </c>
      <c r="B159" s="5" t="s">
        <v>683</v>
      </c>
    </row>
    <row r="160" spans="1:2" ht="18" customHeight="1" x14ac:dyDescent="0.3">
      <c r="A160" s="2" t="s">
        <v>834</v>
      </c>
      <c r="B160" s="5" t="s">
        <v>835</v>
      </c>
    </row>
    <row r="161" spans="1:2" ht="18" customHeight="1" x14ac:dyDescent="0.3">
      <c r="A161" s="2" t="s">
        <v>836</v>
      </c>
      <c r="B161" s="5" t="s">
        <v>685</v>
      </c>
    </row>
    <row r="162" spans="1:2" ht="18" customHeight="1" x14ac:dyDescent="0.3">
      <c r="A162" s="2" t="s">
        <v>837</v>
      </c>
      <c r="B162" s="5" t="s">
        <v>1</v>
      </c>
    </row>
    <row r="163" spans="1:2" ht="18" customHeight="1" x14ac:dyDescent="0.3">
      <c r="A163" s="2" t="s">
        <v>838</v>
      </c>
      <c r="B163" s="5" t="s">
        <v>839</v>
      </c>
    </row>
    <row r="164" spans="1:2" ht="18" customHeight="1" x14ac:dyDescent="0.3">
      <c r="A164" s="2" t="s">
        <v>840</v>
      </c>
      <c r="B164" s="5" t="s">
        <v>673</v>
      </c>
    </row>
    <row r="165" spans="1:2" ht="18" customHeight="1" x14ac:dyDescent="0.3">
      <c r="A165" s="2" t="s">
        <v>841</v>
      </c>
      <c r="B165" s="5" t="s">
        <v>731</v>
      </c>
    </row>
    <row r="166" spans="1:2" ht="18" customHeight="1" x14ac:dyDescent="0.3">
      <c r="A166" s="2" t="s">
        <v>842</v>
      </c>
      <c r="B166" s="5" t="s">
        <v>705</v>
      </c>
    </row>
    <row r="167" spans="1:2" ht="18" customHeight="1" x14ac:dyDescent="0.3">
      <c r="A167" s="2" t="s">
        <v>843</v>
      </c>
      <c r="B167" s="5" t="s">
        <v>700</v>
      </c>
    </row>
    <row r="168" spans="1:2" ht="18" customHeight="1" x14ac:dyDescent="0.3">
      <c r="A168" s="2" t="s">
        <v>844</v>
      </c>
      <c r="B168" s="5" t="s">
        <v>845</v>
      </c>
    </row>
    <row r="169" spans="1:2" ht="18" customHeight="1" x14ac:dyDescent="0.3">
      <c r="A169" s="2" t="s">
        <v>846</v>
      </c>
      <c r="B169" s="5" t="s">
        <v>677</v>
      </c>
    </row>
    <row r="170" spans="1:2" ht="18" customHeight="1" x14ac:dyDescent="0.3">
      <c r="A170" s="2" t="s">
        <v>847</v>
      </c>
      <c r="B170" s="5" t="s">
        <v>701</v>
      </c>
    </row>
    <row r="171" spans="1:2" ht="18" customHeight="1" x14ac:dyDescent="0.3">
      <c r="A171" s="2" t="s">
        <v>848</v>
      </c>
      <c r="B171" s="5" t="s">
        <v>682</v>
      </c>
    </row>
    <row r="172" spans="1:2" ht="18" customHeight="1" x14ac:dyDescent="0.3">
      <c r="A172" s="2" t="s">
        <v>849</v>
      </c>
      <c r="B172" s="5" t="s">
        <v>683</v>
      </c>
    </row>
    <row r="173" spans="1:2" ht="18" customHeight="1" x14ac:dyDescent="0.3">
      <c r="A173" s="2" t="s">
        <v>850</v>
      </c>
      <c r="B173" s="5" t="s">
        <v>685</v>
      </c>
    </row>
    <row r="174" spans="1:2" ht="18" customHeight="1" x14ac:dyDescent="0.3">
      <c r="A174" s="2" t="s">
        <v>851</v>
      </c>
      <c r="B174" s="5" t="s">
        <v>1</v>
      </c>
    </row>
    <row r="175" spans="1:2" ht="18" customHeight="1" x14ac:dyDescent="0.3">
      <c r="A175" s="2" t="s">
        <v>852</v>
      </c>
      <c r="B175" s="5" t="s">
        <v>853</v>
      </c>
    </row>
    <row r="176" spans="1:2" ht="18" customHeight="1" x14ac:dyDescent="0.3">
      <c r="A176" s="2" t="s">
        <v>854</v>
      </c>
      <c r="B176" s="5" t="s">
        <v>673</v>
      </c>
    </row>
    <row r="177" spans="1:2" ht="18" customHeight="1" x14ac:dyDescent="0.3">
      <c r="A177" s="2" t="s">
        <v>855</v>
      </c>
      <c r="B177" s="5" t="s">
        <v>731</v>
      </c>
    </row>
    <row r="178" spans="1:2" ht="18" customHeight="1" x14ac:dyDescent="0.3">
      <c r="A178" s="2" t="s">
        <v>856</v>
      </c>
      <c r="B178" s="5" t="s">
        <v>857</v>
      </c>
    </row>
    <row r="179" spans="1:2" ht="18" customHeight="1" x14ac:dyDescent="0.3">
      <c r="A179" s="2" t="s">
        <v>858</v>
      </c>
      <c r="B179" s="5" t="s">
        <v>859</v>
      </c>
    </row>
    <row r="180" spans="1:2" ht="18" customHeight="1" x14ac:dyDescent="0.3">
      <c r="A180" s="2" t="s">
        <v>860</v>
      </c>
      <c r="B180" s="5" t="s">
        <v>861</v>
      </c>
    </row>
    <row r="181" spans="1:2" ht="18" customHeight="1" x14ac:dyDescent="0.3">
      <c r="A181" s="2" t="s">
        <v>862</v>
      </c>
      <c r="B181" s="5" t="s">
        <v>682</v>
      </c>
    </row>
    <row r="182" spans="1:2" ht="18" customHeight="1" x14ac:dyDescent="0.3">
      <c r="A182" s="2" t="s">
        <v>863</v>
      </c>
      <c r="B182" s="5" t="s">
        <v>685</v>
      </c>
    </row>
    <row r="183" spans="1:2" ht="18" customHeight="1" x14ac:dyDescent="0.3">
      <c r="A183" s="2" t="s">
        <v>864</v>
      </c>
      <c r="B183" s="5" t="s">
        <v>1</v>
      </c>
    </row>
    <row r="184" spans="1:2" ht="18" customHeight="1" x14ac:dyDescent="0.3">
      <c r="A184" s="2" t="s">
        <v>865</v>
      </c>
      <c r="B184" s="5" t="s">
        <v>866</v>
      </c>
    </row>
    <row r="185" spans="1:2" ht="18" customHeight="1" x14ac:dyDescent="0.3">
      <c r="A185" s="2" t="s">
        <v>867</v>
      </c>
      <c r="B185" s="5" t="s">
        <v>673</v>
      </c>
    </row>
    <row r="186" spans="1:2" ht="18" customHeight="1" x14ac:dyDescent="0.3">
      <c r="A186" s="2" t="s">
        <v>868</v>
      </c>
      <c r="B186" s="5" t="s">
        <v>731</v>
      </c>
    </row>
    <row r="187" spans="1:2" ht="18" customHeight="1" x14ac:dyDescent="0.3">
      <c r="A187" s="2" t="s">
        <v>869</v>
      </c>
      <c r="B187" s="5" t="s">
        <v>705</v>
      </c>
    </row>
    <row r="188" spans="1:2" ht="18" customHeight="1" x14ac:dyDescent="0.3">
      <c r="A188" s="2" t="s">
        <v>870</v>
      </c>
      <c r="B188" s="5" t="s">
        <v>700</v>
      </c>
    </row>
    <row r="189" spans="1:2" ht="18" customHeight="1" x14ac:dyDescent="0.3">
      <c r="A189" s="2" t="s">
        <v>871</v>
      </c>
      <c r="B189" s="5" t="s">
        <v>677</v>
      </c>
    </row>
    <row r="190" spans="1:2" ht="18" customHeight="1" x14ac:dyDescent="0.3">
      <c r="A190" s="2" t="s">
        <v>872</v>
      </c>
      <c r="B190" s="5" t="s">
        <v>873</v>
      </c>
    </row>
    <row r="191" spans="1:2" ht="18" customHeight="1" x14ac:dyDescent="0.3">
      <c r="A191" s="2" t="s">
        <v>874</v>
      </c>
      <c r="B191" s="5" t="s">
        <v>875</v>
      </c>
    </row>
    <row r="192" spans="1:2" ht="18" customHeight="1" x14ac:dyDescent="0.3">
      <c r="A192" s="2" t="s">
        <v>876</v>
      </c>
      <c r="B192" s="5" t="s">
        <v>877</v>
      </c>
    </row>
    <row r="193" spans="1:2" ht="18" customHeight="1" x14ac:dyDescent="0.3">
      <c r="A193" s="2" t="s">
        <v>878</v>
      </c>
      <c r="B193" s="5" t="s">
        <v>701</v>
      </c>
    </row>
    <row r="194" spans="1:2" ht="18" customHeight="1" x14ac:dyDescent="0.3">
      <c r="A194" s="2" t="s">
        <v>879</v>
      </c>
      <c r="B194" s="5" t="s">
        <v>753</v>
      </c>
    </row>
    <row r="195" spans="1:2" ht="18" customHeight="1" x14ac:dyDescent="0.3">
      <c r="A195" s="2" t="s">
        <v>880</v>
      </c>
      <c r="B195" s="5" t="s">
        <v>682</v>
      </c>
    </row>
    <row r="196" spans="1:2" ht="18" customHeight="1" x14ac:dyDescent="0.3">
      <c r="A196" s="2" t="s">
        <v>881</v>
      </c>
      <c r="B196" s="5" t="s">
        <v>683</v>
      </c>
    </row>
    <row r="197" spans="1:2" ht="18" customHeight="1" x14ac:dyDescent="0.3">
      <c r="A197" s="2" t="s">
        <v>882</v>
      </c>
      <c r="B197" s="5" t="s">
        <v>835</v>
      </c>
    </row>
    <row r="198" spans="1:2" ht="18" customHeight="1" x14ac:dyDescent="0.3">
      <c r="A198" s="2" t="s">
        <v>883</v>
      </c>
      <c r="B198" s="5" t="s">
        <v>685</v>
      </c>
    </row>
    <row r="199" spans="1:2" ht="18" customHeight="1" x14ac:dyDescent="0.3">
      <c r="A199" s="2" t="s">
        <v>884</v>
      </c>
      <c r="B199" s="5" t="s">
        <v>1</v>
      </c>
    </row>
    <row r="200" spans="1:2" ht="18" customHeight="1" x14ac:dyDescent="0.3">
      <c r="A200" s="2" t="s">
        <v>885</v>
      </c>
      <c r="B200" s="5" t="s">
        <v>886</v>
      </c>
    </row>
    <row r="201" spans="1:2" ht="18" customHeight="1" x14ac:dyDescent="0.3">
      <c r="A201" s="2" t="s">
        <v>887</v>
      </c>
      <c r="B201" s="5" t="s">
        <v>673</v>
      </c>
    </row>
    <row r="202" spans="1:2" ht="18" customHeight="1" x14ac:dyDescent="0.3">
      <c r="A202" s="2" t="s">
        <v>888</v>
      </c>
      <c r="B202" s="5" t="s">
        <v>889</v>
      </c>
    </row>
    <row r="203" spans="1:2" ht="18" customHeight="1" x14ac:dyDescent="0.3">
      <c r="A203" s="2" t="s">
        <v>890</v>
      </c>
      <c r="B203" s="5" t="s">
        <v>891</v>
      </c>
    </row>
    <row r="204" spans="1:2" ht="18" customHeight="1" x14ac:dyDescent="0.3">
      <c r="A204" s="2" t="s">
        <v>892</v>
      </c>
      <c r="B204" s="5" t="s">
        <v>893</v>
      </c>
    </row>
    <row r="205" spans="1:2" ht="18" customHeight="1" x14ac:dyDescent="0.3">
      <c r="A205" s="2" t="s">
        <v>894</v>
      </c>
      <c r="B205" s="5" t="s">
        <v>895</v>
      </c>
    </row>
    <row r="206" spans="1:2" ht="18" customHeight="1" x14ac:dyDescent="0.3">
      <c r="A206" s="2" t="s">
        <v>896</v>
      </c>
      <c r="B206" s="5" t="s">
        <v>897</v>
      </c>
    </row>
    <row r="207" spans="1:2" ht="18" customHeight="1" x14ac:dyDescent="0.3">
      <c r="A207" s="2" t="s">
        <v>898</v>
      </c>
      <c r="B207" s="5" t="s">
        <v>685</v>
      </c>
    </row>
    <row r="208" spans="1:2" ht="18" customHeight="1" x14ac:dyDescent="0.3">
      <c r="A208" s="2" t="s">
        <v>899</v>
      </c>
      <c r="B208" s="5" t="s">
        <v>1</v>
      </c>
    </row>
    <row r="209" spans="1:2" ht="18" customHeight="1" x14ac:dyDescent="0.3">
      <c r="A209" s="2" t="s">
        <v>900</v>
      </c>
      <c r="B209" s="5" t="s">
        <v>901</v>
      </c>
    </row>
    <row r="210" spans="1:2" ht="18" customHeight="1" x14ac:dyDescent="0.3">
      <c r="A210" s="2" t="s">
        <v>902</v>
      </c>
      <c r="B210" s="5" t="s">
        <v>673</v>
      </c>
    </row>
    <row r="211" spans="1:2" ht="18" customHeight="1" x14ac:dyDescent="0.3">
      <c r="A211" s="2" t="s">
        <v>903</v>
      </c>
      <c r="B211" s="5" t="s">
        <v>698</v>
      </c>
    </row>
    <row r="212" spans="1:2" ht="18" customHeight="1" x14ac:dyDescent="0.3">
      <c r="A212" s="2" t="s">
        <v>904</v>
      </c>
      <c r="B212" s="5" t="s">
        <v>699</v>
      </c>
    </row>
    <row r="213" spans="1:2" ht="18" customHeight="1" x14ac:dyDescent="0.3">
      <c r="A213" s="2" t="s">
        <v>905</v>
      </c>
      <c r="B213" s="5" t="s">
        <v>702</v>
      </c>
    </row>
    <row r="214" spans="1:2" ht="18" customHeight="1" x14ac:dyDescent="0.3">
      <c r="A214" s="2" t="s">
        <v>906</v>
      </c>
      <c r="B214" s="5" t="s">
        <v>685</v>
      </c>
    </row>
    <row r="215" spans="1:2" ht="18" customHeight="1" x14ac:dyDescent="0.3">
      <c r="A215" s="2" t="s">
        <v>907</v>
      </c>
      <c r="B215" s="5" t="s">
        <v>1</v>
      </c>
    </row>
    <row r="216" spans="1:2" ht="18" customHeight="1" x14ac:dyDescent="0.3">
      <c r="A216" s="2" t="s">
        <v>908</v>
      </c>
      <c r="B216" s="5" t="s">
        <v>909</v>
      </c>
    </row>
    <row r="217" spans="1:2" ht="18" customHeight="1" x14ac:dyDescent="0.3">
      <c r="A217" s="2" t="s">
        <v>910</v>
      </c>
      <c r="B217" s="5" t="s">
        <v>673</v>
      </c>
    </row>
    <row r="218" spans="1:2" ht="18" customHeight="1" x14ac:dyDescent="0.3">
      <c r="A218" s="2" t="s">
        <v>911</v>
      </c>
      <c r="B218" s="5" t="s">
        <v>698</v>
      </c>
    </row>
    <row r="219" spans="1:2" ht="18" customHeight="1" x14ac:dyDescent="0.3">
      <c r="A219" s="2" t="s">
        <v>912</v>
      </c>
      <c r="B219" s="5" t="s">
        <v>704</v>
      </c>
    </row>
    <row r="220" spans="1:2" ht="18" customHeight="1" x14ac:dyDescent="0.3">
      <c r="A220" s="2" t="s">
        <v>913</v>
      </c>
      <c r="B220" s="5" t="s">
        <v>679</v>
      </c>
    </row>
    <row r="221" spans="1:2" ht="18" customHeight="1" x14ac:dyDescent="0.3">
      <c r="A221" s="2" t="s">
        <v>914</v>
      </c>
      <c r="B221" s="5" t="s">
        <v>782</v>
      </c>
    </row>
    <row r="222" spans="1:2" ht="18" customHeight="1" x14ac:dyDescent="0.3">
      <c r="A222" s="2" t="s">
        <v>915</v>
      </c>
      <c r="B222" s="5" t="s">
        <v>916</v>
      </c>
    </row>
    <row r="223" spans="1:2" ht="18" customHeight="1" x14ac:dyDescent="0.3">
      <c r="A223" s="2" t="s">
        <v>917</v>
      </c>
      <c r="B223" s="5" t="s">
        <v>689</v>
      </c>
    </row>
    <row r="224" spans="1:2" ht="18" customHeight="1" x14ac:dyDescent="0.3">
      <c r="A224" s="2" t="s">
        <v>918</v>
      </c>
      <c r="B224" s="5" t="s">
        <v>919</v>
      </c>
    </row>
    <row r="225" spans="1:2" ht="18" customHeight="1" x14ac:dyDescent="0.3">
      <c r="A225" s="2" t="s">
        <v>920</v>
      </c>
      <c r="B225" s="5" t="s">
        <v>677</v>
      </c>
    </row>
    <row r="226" spans="1:2" ht="18" customHeight="1" x14ac:dyDescent="0.3">
      <c r="A226" s="2" t="s">
        <v>921</v>
      </c>
      <c r="B226" s="5" t="s">
        <v>792</v>
      </c>
    </row>
    <row r="227" spans="1:2" ht="18" customHeight="1" x14ac:dyDescent="0.3">
      <c r="A227" s="2" t="s">
        <v>922</v>
      </c>
      <c r="B227" s="5" t="s">
        <v>682</v>
      </c>
    </row>
    <row r="228" spans="1:2" ht="18" customHeight="1" x14ac:dyDescent="0.3">
      <c r="A228" s="2" t="s">
        <v>923</v>
      </c>
      <c r="B228" s="5" t="s">
        <v>683</v>
      </c>
    </row>
    <row r="229" spans="1:2" ht="18" customHeight="1" x14ac:dyDescent="0.3">
      <c r="A229" s="2" t="s">
        <v>924</v>
      </c>
      <c r="B229" s="5" t="s">
        <v>685</v>
      </c>
    </row>
    <row r="230" spans="1:2" ht="18" customHeight="1" x14ac:dyDescent="0.3">
      <c r="A230" s="2" t="s">
        <v>925</v>
      </c>
      <c r="B230" s="5" t="s">
        <v>1</v>
      </c>
    </row>
    <row r="231" spans="1:2" ht="18" customHeight="1" x14ac:dyDescent="0.3">
      <c r="A231" s="2" t="s">
        <v>926</v>
      </c>
      <c r="B231" s="5" t="s">
        <v>927</v>
      </c>
    </row>
    <row r="232" spans="1:2" ht="18" customHeight="1" x14ac:dyDescent="0.3">
      <c r="A232" s="2" t="s">
        <v>928</v>
      </c>
      <c r="B232" s="5" t="s">
        <v>673</v>
      </c>
    </row>
    <row r="233" spans="1:2" ht="18" customHeight="1" x14ac:dyDescent="0.3">
      <c r="A233" s="2" t="s">
        <v>929</v>
      </c>
      <c r="B233" s="5" t="s">
        <v>731</v>
      </c>
    </row>
    <row r="234" spans="1:2" ht="18" customHeight="1" x14ac:dyDescent="0.3">
      <c r="A234" s="2" t="s">
        <v>930</v>
      </c>
      <c r="B234" s="5" t="s">
        <v>931</v>
      </c>
    </row>
    <row r="235" spans="1:2" ht="18" customHeight="1" x14ac:dyDescent="0.3">
      <c r="A235" s="2" t="s">
        <v>932</v>
      </c>
      <c r="B235" s="5" t="s">
        <v>933</v>
      </c>
    </row>
    <row r="236" spans="1:2" ht="18" customHeight="1" x14ac:dyDescent="0.3">
      <c r="A236" s="2" t="s">
        <v>934</v>
      </c>
      <c r="B236" s="5" t="s">
        <v>935</v>
      </c>
    </row>
    <row r="237" spans="1:2" ht="18" customHeight="1" x14ac:dyDescent="0.3">
      <c r="A237" s="2" t="s">
        <v>936</v>
      </c>
      <c r="B237" s="5" t="s">
        <v>677</v>
      </c>
    </row>
    <row r="238" spans="1:2" ht="18" customHeight="1" x14ac:dyDescent="0.3">
      <c r="A238" s="2" t="s">
        <v>937</v>
      </c>
      <c r="B238" s="5" t="s">
        <v>682</v>
      </c>
    </row>
    <row r="239" spans="1:2" ht="18" customHeight="1" x14ac:dyDescent="0.3">
      <c r="A239" s="2" t="s">
        <v>938</v>
      </c>
      <c r="B239" s="5" t="s">
        <v>685</v>
      </c>
    </row>
    <row r="240" spans="1:2" ht="18" customHeight="1" x14ac:dyDescent="0.3">
      <c r="A240" s="2" t="s">
        <v>939</v>
      </c>
      <c r="B240" s="5" t="s">
        <v>1</v>
      </c>
    </row>
    <row r="241" spans="1:2" ht="18" customHeight="1" x14ac:dyDescent="0.3">
      <c r="A241" s="2" t="s">
        <v>940</v>
      </c>
      <c r="B241" s="5" t="s">
        <v>941</v>
      </c>
    </row>
    <row r="242" spans="1:2" ht="18" customHeight="1" x14ac:dyDescent="0.3">
      <c r="A242" s="2" t="s">
        <v>942</v>
      </c>
      <c r="B242" s="5" t="s">
        <v>673</v>
      </c>
    </row>
    <row r="243" spans="1:2" ht="18" customHeight="1" x14ac:dyDescent="0.3">
      <c r="A243" s="2" t="s">
        <v>943</v>
      </c>
      <c r="B243" s="5" t="s">
        <v>944</v>
      </c>
    </row>
    <row r="244" spans="1:2" ht="18" customHeight="1" x14ac:dyDescent="0.3">
      <c r="A244" s="2" t="s">
        <v>945</v>
      </c>
      <c r="B244" s="5" t="s">
        <v>946</v>
      </c>
    </row>
    <row r="245" spans="1:2" ht="18" customHeight="1" x14ac:dyDescent="0.3">
      <c r="A245" s="2" t="s">
        <v>947</v>
      </c>
      <c r="B245" s="5" t="s">
        <v>948</v>
      </c>
    </row>
    <row r="246" spans="1:2" ht="18" customHeight="1" x14ac:dyDescent="0.3">
      <c r="A246" s="2" t="s">
        <v>949</v>
      </c>
      <c r="B246" s="5" t="s">
        <v>950</v>
      </c>
    </row>
    <row r="247" spans="1:2" ht="18" customHeight="1" x14ac:dyDescent="0.3">
      <c r="A247" s="2" t="s">
        <v>951</v>
      </c>
      <c r="B247" s="5" t="s">
        <v>731</v>
      </c>
    </row>
    <row r="248" spans="1:2" ht="18" customHeight="1" x14ac:dyDescent="0.3">
      <c r="A248" s="2" t="s">
        <v>952</v>
      </c>
      <c r="B248" s="5" t="s">
        <v>792</v>
      </c>
    </row>
    <row r="249" spans="1:2" ht="18" customHeight="1" x14ac:dyDescent="0.3">
      <c r="A249" s="2" t="s">
        <v>953</v>
      </c>
      <c r="B249" s="5" t="s">
        <v>682</v>
      </c>
    </row>
    <row r="250" spans="1:2" ht="18" customHeight="1" x14ac:dyDescent="0.3">
      <c r="A250" s="2" t="s">
        <v>954</v>
      </c>
      <c r="B250" s="5" t="s">
        <v>683</v>
      </c>
    </row>
    <row r="251" spans="1:2" ht="18" customHeight="1" x14ac:dyDescent="0.3">
      <c r="A251" s="2" t="s">
        <v>955</v>
      </c>
      <c r="B251" s="5" t="s">
        <v>685</v>
      </c>
    </row>
    <row r="252" spans="1:2" ht="18" customHeight="1" x14ac:dyDescent="0.3">
      <c r="A252" s="2" t="s">
        <v>956</v>
      </c>
      <c r="B252" s="5" t="s">
        <v>1</v>
      </c>
    </row>
    <row r="253" spans="1:2" ht="18" customHeight="1" x14ac:dyDescent="0.3">
      <c r="A253" s="2" t="s">
        <v>957</v>
      </c>
      <c r="B253" s="5" t="s">
        <v>958</v>
      </c>
    </row>
    <row r="254" spans="1:2" ht="18" customHeight="1" x14ac:dyDescent="0.3">
      <c r="A254" s="2" t="s">
        <v>959</v>
      </c>
      <c r="B254" s="5" t="s">
        <v>673</v>
      </c>
    </row>
    <row r="255" spans="1:2" ht="18" customHeight="1" x14ac:dyDescent="0.3">
      <c r="A255" s="2" t="s">
        <v>960</v>
      </c>
      <c r="B255" s="5" t="s">
        <v>731</v>
      </c>
    </row>
    <row r="256" spans="1:2" ht="18" customHeight="1" x14ac:dyDescent="0.3">
      <c r="A256" s="2" t="s">
        <v>961</v>
      </c>
      <c r="B256" s="5" t="s">
        <v>944</v>
      </c>
    </row>
    <row r="257" spans="1:2" ht="18" customHeight="1" x14ac:dyDescent="0.3">
      <c r="A257" s="2" t="s">
        <v>962</v>
      </c>
      <c r="B257" s="5" t="s">
        <v>766</v>
      </c>
    </row>
    <row r="258" spans="1:2" ht="18" customHeight="1" x14ac:dyDescent="0.3">
      <c r="A258" s="2" t="s">
        <v>963</v>
      </c>
      <c r="B258" s="5" t="s">
        <v>677</v>
      </c>
    </row>
    <row r="259" spans="1:2" ht="18" customHeight="1" x14ac:dyDescent="0.3">
      <c r="A259" s="2" t="s">
        <v>964</v>
      </c>
      <c r="B259" s="5" t="s">
        <v>965</v>
      </c>
    </row>
    <row r="260" spans="1:2" ht="18" customHeight="1" x14ac:dyDescent="0.3">
      <c r="A260" s="2" t="s">
        <v>966</v>
      </c>
      <c r="B260" s="5" t="s">
        <v>685</v>
      </c>
    </row>
    <row r="261" spans="1:2" ht="18" customHeight="1" x14ac:dyDescent="0.3">
      <c r="A261" s="2" t="s">
        <v>967</v>
      </c>
      <c r="B261" s="5" t="s">
        <v>1</v>
      </c>
    </row>
    <row r="262" spans="1:2" ht="18" customHeight="1" x14ac:dyDescent="0.3">
      <c r="A262" s="2" t="s">
        <v>968</v>
      </c>
      <c r="B262" s="5" t="s">
        <v>969</v>
      </c>
    </row>
    <row r="263" spans="1:2" ht="18" customHeight="1" x14ac:dyDescent="0.3">
      <c r="A263" s="2" t="s">
        <v>970</v>
      </c>
      <c r="B263" s="5" t="s">
        <v>673</v>
      </c>
    </row>
    <row r="264" spans="1:2" ht="18" customHeight="1" x14ac:dyDescent="0.3">
      <c r="A264" s="2" t="s">
        <v>971</v>
      </c>
      <c r="B264" s="5" t="s">
        <v>972</v>
      </c>
    </row>
    <row r="265" spans="1:2" ht="18" customHeight="1" x14ac:dyDescent="0.3">
      <c r="A265" s="2" t="s">
        <v>973</v>
      </c>
      <c r="B265" s="5" t="s">
        <v>731</v>
      </c>
    </row>
    <row r="266" spans="1:2" ht="18" customHeight="1" x14ac:dyDescent="0.3">
      <c r="A266" s="2" t="s">
        <v>974</v>
      </c>
      <c r="B266" s="5" t="s">
        <v>797</v>
      </c>
    </row>
    <row r="267" spans="1:2" ht="18" customHeight="1" x14ac:dyDescent="0.3">
      <c r="A267" s="2" t="s">
        <v>975</v>
      </c>
      <c r="B267" s="5" t="s">
        <v>677</v>
      </c>
    </row>
    <row r="268" spans="1:2" ht="18" customHeight="1" x14ac:dyDescent="0.3">
      <c r="A268" s="2" t="s">
        <v>976</v>
      </c>
      <c r="B268" s="5" t="s">
        <v>977</v>
      </c>
    </row>
    <row r="269" spans="1:2" ht="18" customHeight="1" x14ac:dyDescent="0.3">
      <c r="A269" s="2" t="s">
        <v>978</v>
      </c>
      <c r="B269" s="5" t="s">
        <v>979</v>
      </c>
    </row>
    <row r="270" spans="1:2" ht="18" customHeight="1" x14ac:dyDescent="0.3">
      <c r="A270" s="2" t="s">
        <v>980</v>
      </c>
      <c r="B270" s="5" t="s">
        <v>981</v>
      </c>
    </row>
    <row r="271" spans="1:2" ht="18" customHeight="1" x14ac:dyDescent="0.3">
      <c r="A271" s="2" t="s">
        <v>982</v>
      </c>
      <c r="B271" s="5" t="s">
        <v>983</v>
      </c>
    </row>
    <row r="272" spans="1:2" ht="18" customHeight="1" x14ac:dyDescent="0.3">
      <c r="A272" s="2" t="s">
        <v>984</v>
      </c>
      <c r="B272" s="5" t="s">
        <v>753</v>
      </c>
    </row>
    <row r="273" spans="1:2" ht="18" customHeight="1" x14ac:dyDescent="0.3">
      <c r="A273" s="2" t="s">
        <v>985</v>
      </c>
      <c r="B273" s="5" t="s">
        <v>682</v>
      </c>
    </row>
    <row r="274" spans="1:2" ht="18" customHeight="1" x14ac:dyDescent="0.3">
      <c r="A274" s="2" t="s">
        <v>986</v>
      </c>
      <c r="B274" s="5" t="s">
        <v>683</v>
      </c>
    </row>
    <row r="275" spans="1:2" ht="18" customHeight="1" x14ac:dyDescent="0.3">
      <c r="A275" s="2" t="s">
        <v>987</v>
      </c>
      <c r="B275" s="5" t="s">
        <v>685</v>
      </c>
    </row>
    <row r="276" spans="1:2" ht="18" customHeight="1" x14ac:dyDescent="0.3">
      <c r="A276" s="2" t="s">
        <v>988</v>
      </c>
      <c r="B276" s="5" t="s">
        <v>1</v>
      </c>
    </row>
    <row r="277" spans="1:2" ht="18" customHeight="1" x14ac:dyDescent="0.3">
      <c r="A277" s="2" t="s">
        <v>989</v>
      </c>
      <c r="B277" s="5" t="s">
        <v>990</v>
      </c>
    </row>
    <row r="278" spans="1:2" ht="18" customHeight="1" x14ac:dyDescent="0.3">
      <c r="A278" s="2" t="s">
        <v>991</v>
      </c>
      <c r="B278" s="5" t="s">
        <v>673</v>
      </c>
    </row>
    <row r="279" spans="1:2" ht="18" customHeight="1" x14ac:dyDescent="0.3">
      <c r="A279" s="2" t="s">
        <v>992</v>
      </c>
      <c r="B279" s="5" t="s">
        <v>993</v>
      </c>
    </row>
    <row r="280" spans="1:2" ht="18" customHeight="1" x14ac:dyDescent="0.3">
      <c r="A280" s="2" t="s">
        <v>994</v>
      </c>
      <c r="B280" s="5" t="s">
        <v>995</v>
      </c>
    </row>
    <row r="281" spans="1:2" ht="18" customHeight="1" x14ac:dyDescent="0.3">
      <c r="A281" s="2" t="s">
        <v>996</v>
      </c>
      <c r="B281" s="5" t="s">
        <v>997</v>
      </c>
    </row>
    <row r="282" spans="1:2" ht="18" customHeight="1" x14ac:dyDescent="0.3">
      <c r="A282" s="2" t="s">
        <v>998</v>
      </c>
      <c r="B282" s="5" t="s">
        <v>999</v>
      </c>
    </row>
    <row r="283" spans="1:2" ht="18" customHeight="1" x14ac:dyDescent="0.3">
      <c r="A283" s="2" t="s">
        <v>1000</v>
      </c>
      <c r="B283" s="5" t="s">
        <v>1001</v>
      </c>
    </row>
    <row r="284" spans="1:2" ht="18" customHeight="1" x14ac:dyDescent="0.3">
      <c r="A284" s="2" t="s">
        <v>1002</v>
      </c>
      <c r="B284" s="5" t="s">
        <v>1003</v>
      </c>
    </row>
    <row r="285" spans="1:2" ht="18" customHeight="1" x14ac:dyDescent="0.3">
      <c r="A285" s="2" t="s">
        <v>1004</v>
      </c>
      <c r="B285" s="5" t="s">
        <v>1005</v>
      </c>
    </row>
    <row r="286" spans="1:2" ht="18" customHeight="1" x14ac:dyDescent="0.3">
      <c r="A286" s="2" t="s">
        <v>1006</v>
      </c>
      <c r="B286" s="5" t="s">
        <v>682</v>
      </c>
    </row>
    <row r="287" spans="1:2" ht="18" customHeight="1" x14ac:dyDescent="0.3">
      <c r="A287" s="2" t="s">
        <v>1007</v>
      </c>
      <c r="B287" s="5" t="s">
        <v>685</v>
      </c>
    </row>
    <row r="288" spans="1:2" ht="18" customHeight="1" x14ac:dyDescent="0.3">
      <c r="A288" s="2" t="s">
        <v>1008</v>
      </c>
      <c r="B288" s="5" t="s">
        <v>1</v>
      </c>
    </row>
    <row r="289" spans="1:2" ht="18" customHeight="1" x14ac:dyDescent="0.3">
      <c r="A289" s="2" t="s">
        <v>1009</v>
      </c>
      <c r="B289" s="5" t="s">
        <v>1010</v>
      </c>
    </row>
    <row r="290" spans="1:2" ht="18" customHeight="1" x14ac:dyDescent="0.3">
      <c r="A290" s="2" t="s">
        <v>1011</v>
      </c>
      <c r="B290" s="5" t="s">
        <v>673</v>
      </c>
    </row>
    <row r="291" spans="1:2" ht="18" customHeight="1" x14ac:dyDescent="0.3">
      <c r="A291" s="2" t="s">
        <v>1012</v>
      </c>
      <c r="B291" s="5" t="s">
        <v>731</v>
      </c>
    </row>
    <row r="292" spans="1:2" ht="18" customHeight="1" x14ac:dyDescent="0.3">
      <c r="A292" s="2" t="s">
        <v>1013</v>
      </c>
      <c r="B292" s="5" t="s">
        <v>993</v>
      </c>
    </row>
    <row r="293" spans="1:2" ht="18" customHeight="1" x14ac:dyDescent="0.3">
      <c r="A293" s="2" t="s">
        <v>1014</v>
      </c>
      <c r="B293" s="5" t="s">
        <v>1015</v>
      </c>
    </row>
    <row r="294" spans="1:2" ht="18" customHeight="1" x14ac:dyDescent="0.3">
      <c r="A294" s="2" t="s">
        <v>1016</v>
      </c>
      <c r="B294" s="5" t="s">
        <v>698</v>
      </c>
    </row>
    <row r="295" spans="1:2" ht="18" customHeight="1" x14ac:dyDescent="0.3">
      <c r="A295" s="2" t="s">
        <v>1017</v>
      </c>
      <c r="B295" s="5" t="s">
        <v>1018</v>
      </c>
    </row>
    <row r="296" spans="1:2" ht="18" customHeight="1" x14ac:dyDescent="0.3">
      <c r="A296" s="2" t="s">
        <v>1019</v>
      </c>
      <c r="B296" s="5" t="s">
        <v>1020</v>
      </c>
    </row>
    <row r="297" spans="1:2" ht="18" customHeight="1" x14ac:dyDescent="0.3">
      <c r="A297" s="2" t="s">
        <v>1021</v>
      </c>
      <c r="B297" s="5" t="s">
        <v>677</v>
      </c>
    </row>
    <row r="298" spans="1:2" ht="18" customHeight="1" x14ac:dyDescent="0.3">
      <c r="A298" s="2" t="s">
        <v>1022</v>
      </c>
      <c r="B298" s="5" t="s">
        <v>682</v>
      </c>
    </row>
    <row r="299" spans="1:2" ht="18" customHeight="1" x14ac:dyDescent="0.3">
      <c r="A299" s="2" t="s">
        <v>1023</v>
      </c>
      <c r="B299" s="5" t="s">
        <v>685</v>
      </c>
    </row>
    <row r="300" spans="1:2" ht="18" customHeight="1" x14ac:dyDescent="0.3">
      <c r="A300" s="2" t="s">
        <v>1024</v>
      </c>
      <c r="B300" s="5" t="s">
        <v>1</v>
      </c>
    </row>
    <row r="301" spans="1:2" ht="18" customHeight="1" x14ac:dyDescent="0.3">
      <c r="A301" s="2" t="s">
        <v>1025</v>
      </c>
      <c r="B301" s="5" t="s">
        <v>1026</v>
      </c>
    </row>
    <row r="302" spans="1:2" ht="18" customHeight="1" x14ac:dyDescent="0.3">
      <c r="A302" s="2" t="s">
        <v>1027</v>
      </c>
      <c r="B302" s="5" t="s">
        <v>673</v>
      </c>
    </row>
    <row r="303" spans="1:2" ht="18" customHeight="1" x14ac:dyDescent="0.3">
      <c r="A303" s="2" t="s">
        <v>1028</v>
      </c>
      <c r="B303" s="5" t="s">
        <v>731</v>
      </c>
    </row>
    <row r="304" spans="1:2" ht="18" customHeight="1" x14ac:dyDescent="0.3">
      <c r="A304" s="2" t="s">
        <v>1029</v>
      </c>
      <c r="B304" s="5" t="s">
        <v>993</v>
      </c>
    </row>
    <row r="305" spans="1:2" ht="18" customHeight="1" x14ac:dyDescent="0.3">
      <c r="A305" s="2" t="s">
        <v>1030</v>
      </c>
      <c r="B305" s="5" t="s">
        <v>700</v>
      </c>
    </row>
    <row r="306" spans="1:2" ht="18" customHeight="1" x14ac:dyDescent="0.3">
      <c r="A306" s="2" t="s">
        <v>1031</v>
      </c>
      <c r="B306" s="5" t="s">
        <v>1032</v>
      </c>
    </row>
    <row r="307" spans="1:2" ht="18" customHeight="1" x14ac:dyDescent="0.3">
      <c r="A307" s="2" t="s">
        <v>1033</v>
      </c>
      <c r="B307" s="5" t="s">
        <v>1034</v>
      </c>
    </row>
    <row r="308" spans="1:2" ht="18" customHeight="1" x14ac:dyDescent="0.3">
      <c r="A308" s="2" t="s">
        <v>1035</v>
      </c>
      <c r="B308" s="5" t="s">
        <v>1036</v>
      </c>
    </row>
    <row r="309" spans="1:2" ht="18" customHeight="1" x14ac:dyDescent="0.3">
      <c r="A309" s="2" t="s">
        <v>1037</v>
      </c>
      <c r="B309" s="5" t="s">
        <v>677</v>
      </c>
    </row>
    <row r="310" spans="1:2" ht="18" customHeight="1" x14ac:dyDescent="0.3">
      <c r="A310" s="2" t="s">
        <v>1038</v>
      </c>
      <c r="B310" s="5" t="s">
        <v>682</v>
      </c>
    </row>
    <row r="311" spans="1:2" ht="18" customHeight="1" x14ac:dyDescent="0.3">
      <c r="A311" s="2" t="s">
        <v>1039</v>
      </c>
      <c r="B311" s="5" t="s">
        <v>685</v>
      </c>
    </row>
    <row r="312" spans="1:2" ht="18" customHeight="1" x14ac:dyDescent="0.3">
      <c r="A312" s="2" t="s">
        <v>1040</v>
      </c>
      <c r="B312" s="5" t="s">
        <v>1</v>
      </c>
    </row>
    <row r="313" spans="1:2" ht="18" customHeight="1" x14ac:dyDescent="0.3">
      <c r="A313" s="2" t="s">
        <v>1041</v>
      </c>
      <c r="B313" s="5" t="s">
        <v>1042</v>
      </c>
    </row>
    <row r="314" spans="1:2" ht="18" customHeight="1" x14ac:dyDescent="0.3">
      <c r="A314" s="2" t="s">
        <v>1043</v>
      </c>
      <c r="B314" s="5" t="s">
        <v>673</v>
      </c>
    </row>
    <row r="315" spans="1:2" ht="18" customHeight="1" x14ac:dyDescent="0.3">
      <c r="A315" s="2" t="s">
        <v>1044</v>
      </c>
      <c r="B315" s="5" t="s">
        <v>731</v>
      </c>
    </row>
    <row r="316" spans="1:2" ht="18" customHeight="1" x14ac:dyDescent="0.3">
      <c r="A316" s="2" t="s">
        <v>1045</v>
      </c>
      <c r="B316" s="5" t="s">
        <v>698</v>
      </c>
    </row>
    <row r="317" spans="1:2" ht="18" customHeight="1" x14ac:dyDescent="0.3">
      <c r="A317" s="2" t="s">
        <v>1046</v>
      </c>
      <c r="B317" s="5" t="s">
        <v>1047</v>
      </c>
    </row>
    <row r="318" spans="1:2" ht="18" customHeight="1" x14ac:dyDescent="0.3">
      <c r="A318" s="2" t="s">
        <v>1048</v>
      </c>
      <c r="B318" s="5" t="s">
        <v>682</v>
      </c>
    </row>
    <row r="319" spans="1:2" ht="18" customHeight="1" x14ac:dyDescent="0.3">
      <c r="A319" s="2" t="s">
        <v>1049</v>
      </c>
      <c r="B319" s="5" t="s">
        <v>683</v>
      </c>
    </row>
    <row r="320" spans="1:2" ht="18" customHeight="1" x14ac:dyDescent="0.3">
      <c r="A320" s="2" t="s">
        <v>1050</v>
      </c>
      <c r="B320" s="5" t="s">
        <v>685</v>
      </c>
    </row>
    <row r="321" spans="1:2" ht="18" customHeight="1" x14ac:dyDescent="0.3">
      <c r="A321" s="2" t="s">
        <v>1051</v>
      </c>
      <c r="B321" s="5" t="s">
        <v>1</v>
      </c>
    </row>
    <row r="322" spans="1:2" ht="18" customHeight="1" x14ac:dyDescent="0.3">
      <c r="A322" s="2" t="s">
        <v>1052</v>
      </c>
      <c r="B322" s="5" t="s">
        <v>1053</v>
      </c>
    </row>
    <row r="323" spans="1:2" ht="18" customHeight="1" x14ac:dyDescent="0.3">
      <c r="A323" s="2" t="s">
        <v>1054</v>
      </c>
      <c r="B323" s="5" t="s">
        <v>673</v>
      </c>
    </row>
    <row r="324" spans="1:2" ht="18" customHeight="1" x14ac:dyDescent="0.3">
      <c r="A324" s="2" t="s">
        <v>1055</v>
      </c>
      <c r="B324" s="5" t="s">
        <v>1056</v>
      </c>
    </row>
    <row r="325" spans="1:2" ht="18" customHeight="1" x14ac:dyDescent="0.3">
      <c r="A325" s="2" t="s">
        <v>1057</v>
      </c>
      <c r="B325" s="5" t="s">
        <v>723</v>
      </c>
    </row>
    <row r="326" spans="1:2" ht="18" customHeight="1" x14ac:dyDescent="0.3">
      <c r="A326" s="2" t="s">
        <v>1058</v>
      </c>
      <c r="B326" s="5" t="s">
        <v>1059</v>
      </c>
    </row>
    <row r="327" spans="1:2" ht="18" customHeight="1" x14ac:dyDescent="0.3">
      <c r="A327" s="2" t="s">
        <v>1060</v>
      </c>
      <c r="B327" s="5" t="s">
        <v>1061</v>
      </c>
    </row>
    <row r="328" spans="1:2" ht="18" customHeight="1" x14ac:dyDescent="0.3">
      <c r="A328" s="2" t="s">
        <v>1062</v>
      </c>
      <c r="B328" s="5" t="s">
        <v>677</v>
      </c>
    </row>
    <row r="329" spans="1:2" ht="18" customHeight="1" x14ac:dyDescent="0.3">
      <c r="A329" s="2" t="s">
        <v>1063</v>
      </c>
      <c r="B329" s="5" t="s">
        <v>792</v>
      </c>
    </row>
    <row r="330" spans="1:2" ht="18" customHeight="1" x14ac:dyDescent="0.3">
      <c r="A330" s="2" t="s">
        <v>1064</v>
      </c>
      <c r="B330" s="5" t="s">
        <v>931</v>
      </c>
    </row>
    <row r="331" spans="1:2" ht="18" customHeight="1" x14ac:dyDescent="0.3">
      <c r="A331" s="2" t="s">
        <v>1065</v>
      </c>
      <c r="B331" s="5" t="s">
        <v>682</v>
      </c>
    </row>
    <row r="332" spans="1:2" ht="18" customHeight="1" x14ac:dyDescent="0.3">
      <c r="A332" s="2" t="s">
        <v>1066</v>
      </c>
      <c r="B332" s="5" t="s">
        <v>683</v>
      </c>
    </row>
    <row r="333" spans="1:2" ht="18" customHeight="1" x14ac:dyDescent="0.3">
      <c r="A333" s="2" t="s">
        <v>1067</v>
      </c>
      <c r="B333" s="5" t="s">
        <v>685</v>
      </c>
    </row>
    <row r="334" spans="1:2" ht="18" customHeight="1" x14ac:dyDescent="0.3">
      <c r="A334" s="2" t="s">
        <v>1068</v>
      </c>
      <c r="B334" s="5" t="s">
        <v>1</v>
      </c>
    </row>
    <row r="335" spans="1:2" ht="18" customHeight="1" x14ac:dyDescent="0.3">
      <c r="A335" s="2" t="s">
        <v>1069</v>
      </c>
      <c r="B335" s="5" t="s">
        <v>1070</v>
      </c>
    </row>
    <row r="336" spans="1:2" ht="18" customHeight="1" x14ac:dyDescent="0.3">
      <c r="A336" s="2" t="s">
        <v>1071</v>
      </c>
      <c r="B336" s="5" t="s">
        <v>673</v>
      </c>
    </row>
    <row r="337" spans="1:2" ht="18" customHeight="1" x14ac:dyDescent="0.3">
      <c r="A337" s="2" t="s">
        <v>1072</v>
      </c>
      <c r="B337" s="5" t="s">
        <v>731</v>
      </c>
    </row>
    <row r="338" spans="1:2" ht="18" customHeight="1" x14ac:dyDescent="0.3">
      <c r="A338" s="2" t="s">
        <v>1073</v>
      </c>
      <c r="B338" s="5" t="s">
        <v>797</v>
      </c>
    </row>
    <row r="339" spans="1:2" ht="18" customHeight="1" x14ac:dyDescent="0.3">
      <c r="A339" s="2" t="s">
        <v>1074</v>
      </c>
      <c r="B339" s="5" t="s">
        <v>1075</v>
      </c>
    </row>
    <row r="340" spans="1:2" ht="18" customHeight="1" x14ac:dyDescent="0.3">
      <c r="A340" s="2" t="s">
        <v>1076</v>
      </c>
      <c r="B340" s="5" t="s">
        <v>1077</v>
      </c>
    </row>
    <row r="341" spans="1:2" ht="18" customHeight="1" x14ac:dyDescent="0.3">
      <c r="A341" s="2" t="s">
        <v>1078</v>
      </c>
      <c r="B341" s="5" t="s">
        <v>677</v>
      </c>
    </row>
    <row r="342" spans="1:2" ht="18" customHeight="1" x14ac:dyDescent="0.3">
      <c r="A342" s="2" t="s">
        <v>1079</v>
      </c>
      <c r="B342" s="5" t="s">
        <v>1080</v>
      </c>
    </row>
    <row r="343" spans="1:2" ht="18" customHeight="1" x14ac:dyDescent="0.3">
      <c r="A343" s="2" t="s">
        <v>1081</v>
      </c>
      <c r="B343" s="5" t="s">
        <v>1082</v>
      </c>
    </row>
    <row r="344" spans="1:2" ht="18" customHeight="1" x14ac:dyDescent="0.3">
      <c r="A344" s="2" t="s">
        <v>1083</v>
      </c>
      <c r="B344" s="5" t="s">
        <v>1084</v>
      </c>
    </row>
    <row r="345" spans="1:2" ht="18" customHeight="1" x14ac:dyDescent="0.3">
      <c r="A345" s="2" t="s">
        <v>1085</v>
      </c>
      <c r="B345" s="5" t="s">
        <v>682</v>
      </c>
    </row>
    <row r="346" spans="1:2" ht="18" customHeight="1" x14ac:dyDescent="0.3">
      <c r="A346" s="2" t="s">
        <v>1086</v>
      </c>
      <c r="B346" s="5" t="s">
        <v>683</v>
      </c>
    </row>
    <row r="347" spans="1:2" ht="18" customHeight="1" x14ac:dyDescent="0.3">
      <c r="A347" s="2" t="s">
        <v>1087</v>
      </c>
      <c r="B347" s="5" t="s">
        <v>685</v>
      </c>
    </row>
    <row r="348" spans="1:2" ht="18" customHeight="1" x14ac:dyDescent="0.3">
      <c r="A348" s="2" t="s">
        <v>1088</v>
      </c>
      <c r="B348" s="5" t="s">
        <v>1</v>
      </c>
    </row>
    <row r="349" spans="1:2" ht="18" customHeight="1" x14ac:dyDescent="0.3">
      <c r="A349" s="2" t="s">
        <v>1089</v>
      </c>
      <c r="B349" s="5" t="s">
        <v>1090</v>
      </c>
    </row>
    <row r="350" spans="1:2" ht="18" customHeight="1" x14ac:dyDescent="0.3">
      <c r="A350" s="2" t="s">
        <v>1091</v>
      </c>
      <c r="B350" s="5" t="s">
        <v>673</v>
      </c>
    </row>
    <row r="351" spans="1:2" ht="18" customHeight="1" x14ac:dyDescent="0.3">
      <c r="A351" s="2" t="s">
        <v>1092</v>
      </c>
      <c r="B351" s="5" t="s">
        <v>1093</v>
      </c>
    </row>
    <row r="352" spans="1:2" ht="18" customHeight="1" x14ac:dyDescent="0.3">
      <c r="A352" s="2" t="s">
        <v>1094</v>
      </c>
      <c r="B352" s="5" t="s">
        <v>1095</v>
      </c>
    </row>
    <row r="353" spans="1:2" ht="18" customHeight="1" x14ac:dyDescent="0.3">
      <c r="A353" s="2" t="s">
        <v>1096</v>
      </c>
      <c r="B353" s="5" t="s">
        <v>701</v>
      </c>
    </row>
    <row r="354" spans="1:2" ht="18" customHeight="1" x14ac:dyDescent="0.3">
      <c r="A354" s="2" t="s">
        <v>1097</v>
      </c>
      <c r="B354" s="5" t="s">
        <v>702</v>
      </c>
    </row>
    <row r="355" spans="1:2" ht="18" customHeight="1" x14ac:dyDescent="0.3">
      <c r="A355" s="2" t="s">
        <v>1098</v>
      </c>
      <c r="B355" s="5" t="s">
        <v>685</v>
      </c>
    </row>
    <row r="356" spans="1:2" ht="18" customHeight="1" x14ac:dyDescent="0.3">
      <c r="A356" s="2" t="s">
        <v>1099</v>
      </c>
      <c r="B356" s="5" t="s">
        <v>1</v>
      </c>
    </row>
    <row r="357" spans="1:2" ht="18" customHeight="1" x14ac:dyDescent="0.3">
      <c r="A357" s="2" t="s">
        <v>1100</v>
      </c>
      <c r="B357" s="5" t="s">
        <v>1101</v>
      </c>
    </row>
    <row r="358" spans="1:2" ht="18" customHeight="1" x14ac:dyDescent="0.3">
      <c r="A358" s="2" t="s">
        <v>1102</v>
      </c>
      <c r="B358" s="5" t="s">
        <v>673</v>
      </c>
    </row>
    <row r="359" spans="1:2" ht="18" customHeight="1" x14ac:dyDescent="0.3">
      <c r="A359" s="2" t="s">
        <v>1103</v>
      </c>
      <c r="B359" s="5" t="s">
        <v>1104</v>
      </c>
    </row>
    <row r="360" spans="1:2" ht="18" customHeight="1" x14ac:dyDescent="0.3">
      <c r="A360" s="2" t="s">
        <v>1105</v>
      </c>
      <c r="B360" s="5" t="s">
        <v>1106</v>
      </c>
    </row>
    <row r="361" spans="1:2" ht="18" customHeight="1" x14ac:dyDescent="0.3">
      <c r="A361" s="2" t="s">
        <v>1107</v>
      </c>
      <c r="B361" s="5" t="s">
        <v>1108</v>
      </c>
    </row>
    <row r="362" spans="1:2" ht="18" customHeight="1" x14ac:dyDescent="0.3">
      <c r="A362" s="2" t="s">
        <v>1109</v>
      </c>
      <c r="B362" s="5" t="s">
        <v>685</v>
      </c>
    </row>
    <row r="363" spans="1:2" ht="18" customHeight="1" x14ac:dyDescent="0.3">
      <c r="A363" s="2" t="s">
        <v>1110</v>
      </c>
      <c r="B363" s="5" t="s">
        <v>1</v>
      </c>
    </row>
    <row r="364" spans="1:2" ht="18" customHeight="1" x14ac:dyDescent="0.3">
      <c r="A364" s="2" t="s">
        <v>1111</v>
      </c>
      <c r="B364" s="5" t="s">
        <v>1112</v>
      </c>
    </row>
    <row r="365" spans="1:2" ht="18" customHeight="1" x14ac:dyDescent="0.3">
      <c r="A365" s="2" t="s">
        <v>1113</v>
      </c>
      <c r="B365" s="5" t="s">
        <v>673</v>
      </c>
    </row>
    <row r="366" spans="1:2" ht="18" customHeight="1" x14ac:dyDescent="0.3">
      <c r="A366" s="2" t="s">
        <v>1114</v>
      </c>
      <c r="B366" s="5" t="s">
        <v>731</v>
      </c>
    </row>
    <row r="367" spans="1:2" ht="18" customHeight="1" x14ac:dyDescent="0.3">
      <c r="A367" s="2" t="s">
        <v>1115</v>
      </c>
      <c r="B367" s="5" t="s">
        <v>682</v>
      </c>
    </row>
    <row r="368" spans="1:2" ht="18" customHeight="1" x14ac:dyDescent="0.3">
      <c r="A368" s="2" t="s">
        <v>1116</v>
      </c>
      <c r="B368" s="5" t="s">
        <v>685</v>
      </c>
    </row>
    <row r="369" spans="1:2" ht="18" customHeight="1" x14ac:dyDescent="0.3">
      <c r="A369" s="2" t="s">
        <v>1117</v>
      </c>
      <c r="B369" s="5" t="s">
        <v>1</v>
      </c>
    </row>
    <row r="370" spans="1:2" ht="18" customHeight="1" x14ac:dyDescent="0.3">
      <c r="A370" s="2" t="s">
        <v>1118</v>
      </c>
      <c r="B370" s="5" t="s">
        <v>1119</v>
      </c>
    </row>
    <row r="371" spans="1:2" ht="18" customHeight="1" x14ac:dyDescent="0.3">
      <c r="A371" s="2" t="s">
        <v>1120</v>
      </c>
      <c r="B371" s="5" t="s">
        <v>673</v>
      </c>
    </row>
    <row r="372" spans="1:2" ht="18" customHeight="1" x14ac:dyDescent="0.3">
      <c r="A372" s="2" t="s">
        <v>1121</v>
      </c>
      <c r="B372" s="5" t="s">
        <v>1122</v>
      </c>
    </row>
    <row r="373" spans="1:2" ht="18" customHeight="1" x14ac:dyDescent="0.3">
      <c r="A373" s="2" t="s">
        <v>1123</v>
      </c>
      <c r="B373" s="5" t="s">
        <v>1124</v>
      </c>
    </row>
    <row r="374" spans="1:2" ht="18" customHeight="1" x14ac:dyDescent="0.3">
      <c r="A374" s="2" t="s">
        <v>1125</v>
      </c>
      <c r="B374" s="5" t="s">
        <v>1126</v>
      </c>
    </row>
    <row r="375" spans="1:2" ht="18" customHeight="1" x14ac:dyDescent="0.3">
      <c r="A375" s="2" t="s">
        <v>1127</v>
      </c>
      <c r="B375" s="5" t="s">
        <v>685</v>
      </c>
    </row>
    <row r="376" spans="1:2" ht="18" customHeight="1" x14ac:dyDescent="0.3">
      <c r="A376" s="2" t="s">
        <v>1128</v>
      </c>
      <c r="B376" s="5" t="s">
        <v>1</v>
      </c>
    </row>
    <row r="377" spans="1:2" ht="18" customHeight="1" x14ac:dyDescent="0.3">
      <c r="A377" s="2" t="s">
        <v>1129</v>
      </c>
      <c r="B377" s="5" t="s">
        <v>1130</v>
      </c>
    </row>
    <row r="378" spans="1:2" ht="18" customHeight="1" x14ac:dyDescent="0.3">
      <c r="A378" s="2" t="s">
        <v>1131</v>
      </c>
      <c r="B378" s="5" t="s">
        <v>673</v>
      </c>
    </row>
    <row r="379" spans="1:2" ht="18" customHeight="1" x14ac:dyDescent="0.3">
      <c r="A379" s="2" t="s">
        <v>1132</v>
      </c>
      <c r="B379" s="5" t="s">
        <v>1122</v>
      </c>
    </row>
    <row r="380" spans="1:2" ht="18" customHeight="1" x14ac:dyDescent="0.3">
      <c r="A380" s="2" t="s">
        <v>1133</v>
      </c>
      <c r="B380" s="5" t="s">
        <v>1134</v>
      </c>
    </row>
    <row r="381" spans="1:2" ht="18" customHeight="1" x14ac:dyDescent="0.3">
      <c r="A381" s="2" t="s">
        <v>1135</v>
      </c>
      <c r="B381" s="5" t="s">
        <v>1136</v>
      </c>
    </row>
    <row r="382" spans="1:2" ht="18" customHeight="1" x14ac:dyDescent="0.3">
      <c r="A382" s="2" t="s">
        <v>1137</v>
      </c>
      <c r="B382" s="5" t="s">
        <v>981</v>
      </c>
    </row>
    <row r="383" spans="1:2" ht="18" customHeight="1" x14ac:dyDescent="0.3">
      <c r="A383" s="2" t="s">
        <v>1138</v>
      </c>
      <c r="B383" s="5" t="s">
        <v>684</v>
      </c>
    </row>
    <row r="384" spans="1:2" ht="18" customHeight="1" x14ac:dyDescent="0.3">
      <c r="A384" s="2" t="s">
        <v>1139</v>
      </c>
      <c r="B384" s="5" t="s">
        <v>685</v>
      </c>
    </row>
    <row r="385" spans="1:2" ht="18" customHeight="1" x14ac:dyDescent="0.3">
      <c r="A385" s="2" t="s">
        <v>1140</v>
      </c>
      <c r="B385" s="5" t="s">
        <v>1</v>
      </c>
    </row>
    <row r="386" spans="1:2" ht="18" customHeight="1" x14ac:dyDescent="0.3">
      <c r="A386" s="2" t="s">
        <v>1141</v>
      </c>
      <c r="B386" s="5" t="s">
        <v>1142</v>
      </c>
    </row>
    <row r="387" spans="1:2" ht="18" customHeight="1" x14ac:dyDescent="0.3">
      <c r="A387" s="2" t="s">
        <v>1143</v>
      </c>
      <c r="B387" s="5" t="s">
        <v>673</v>
      </c>
    </row>
    <row r="388" spans="1:2" ht="18" customHeight="1" x14ac:dyDescent="0.3">
      <c r="A388" s="2" t="s">
        <v>1144</v>
      </c>
      <c r="B388" s="5" t="s">
        <v>1124</v>
      </c>
    </row>
    <row r="389" spans="1:2" ht="18" customHeight="1" x14ac:dyDescent="0.3">
      <c r="A389" s="2" t="s">
        <v>1145</v>
      </c>
      <c r="B389" s="5" t="s">
        <v>1146</v>
      </c>
    </row>
    <row r="390" spans="1:2" ht="18" customHeight="1" x14ac:dyDescent="0.3">
      <c r="A390" s="2" t="s">
        <v>1147</v>
      </c>
      <c r="B390" s="5" t="s">
        <v>814</v>
      </c>
    </row>
    <row r="391" spans="1:2" ht="18" customHeight="1" x14ac:dyDescent="0.3">
      <c r="A391" s="2" t="s">
        <v>1148</v>
      </c>
      <c r="B391" s="5" t="s">
        <v>705</v>
      </c>
    </row>
    <row r="392" spans="1:2" ht="18" customHeight="1" x14ac:dyDescent="0.3">
      <c r="A392" s="2" t="s">
        <v>1149</v>
      </c>
      <c r="B392" s="5" t="s">
        <v>861</v>
      </c>
    </row>
    <row r="393" spans="1:2" ht="18" customHeight="1" x14ac:dyDescent="0.3">
      <c r="A393" s="2" t="s">
        <v>1150</v>
      </c>
      <c r="B393" s="5" t="s">
        <v>1151</v>
      </c>
    </row>
    <row r="394" spans="1:2" ht="18" customHeight="1" x14ac:dyDescent="0.3">
      <c r="A394" s="2" t="s">
        <v>1152</v>
      </c>
      <c r="B394" s="5" t="s">
        <v>1153</v>
      </c>
    </row>
    <row r="395" spans="1:2" ht="18" customHeight="1" x14ac:dyDescent="0.3">
      <c r="A395" s="2" t="s">
        <v>1154</v>
      </c>
      <c r="B395" s="5" t="s">
        <v>1155</v>
      </c>
    </row>
    <row r="396" spans="1:2" ht="18" customHeight="1" x14ac:dyDescent="0.3">
      <c r="A396" s="2" t="s">
        <v>1156</v>
      </c>
      <c r="B396" s="5" t="s">
        <v>1157</v>
      </c>
    </row>
    <row r="397" spans="1:2" ht="18" customHeight="1" x14ac:dyDescent="0.3">
      <c r="A397" s="2" t="s">
        <v>1158</v>
      </c>
      <c r="B397" s="5" t="s">
        <v>682</v>
      </c>
    </row>
    <row r="398" spans="1:2" ht="18" customHeight="1" x14ac:dyDescent="0.3">
      <c r="A398" s="2" t="s">
        <v>1159</v>
      </c>
      <c r="B398" s="5" t="s">
        <v>685</v>
      </c>
    </row>
    <row r="399" spans="1:2" ht="18" customHeight="1" x14ac:dyDescent="0.3">
      <c r="A399" s="2" t="s">
        <v>1160</v>
      </c>
      <c r="B399" s="5" t="s">
        <v>1</v>
      </c>
    </row>
    <row r="400" spans="1:2" ht="18" customHeight="1" x14ac:dyDescent="0.3">
      <c r="A400" s="2" t="s">
        <v>1161</v>
      </c>
      <c r="B400" s="5" t="s">
        <v>1162</v>
      </c>
    </row>
    <row r="401" spans="1:2" ht="18" customHeight="1" x14ac:dyDescent="0.3">
      <c r="A401" s="2" t="s">
        <v>1163</v>
      </c>
      <c r="B401" s="5" t="s">
        <v>1164</v>
      </c>
    </row>
    <row r="402" spans="1:2" ht="18" customHeight="1" x14ac:dyDescent="0.3">
      <c r="A402" s="2" t="s">
        <v>1165</v>
      </c>
      <c r="B402" s="5" t="s">
        <v>1166</v>
      </c>
    </row>
    <row r="403" spans="1:2" ht="18" customHeight="1" x14ac:dyDescent="0.3">
      <c r="A403" s="2" t="s">
        <v>1167</v>
      </c>
      <c r="B403" s="5" t="s">
        <v>1168</v>
      </c>
    </row>
    <row r="404" spans="1:2" ht="18" customHeight="1" x14ac:dyDescent="0.3">
      <c r="A404" s="2" t="s">
        <v>1169</v>
      </c>
      <c r="B404" s="5" t="s">
        <v>1</v>
      </c>
    </row>
    <row r="405" spans="1:2" ht="18" customHeight="1" x14ac:dyDescent="0.3">
      <c r="A405" s="2" t="s">
        <v>1170</v>
      </c>
      <c r="B405" s="5" t="s">
        <v>1171</v>
      </c>
    </row>
    <row r="406" spans="1:2" ht="18" customHeight="1" x14ac:dyDescent="0.3">
      <c r="A406" s="2" t="s">
        <v>1172</v>
      </c>
      <c r="B406" s="5" t="s">
        <v>1173</v>
      </c>
    </row>
    <row r="407" spans="1:2" ht="18" customHeight="1" x14ac:dyDescent="0.3">
      <c r="A407" s="2" t="s">
        <v>1174</v>
      </c>
      <c r="B407" s="5" t="s">
        <v>1175</v>
      </c>
    </row>
    <row r="408" spans="1:2" ht="18" customHeight="1" x14ac:dyDescent="0.3">
      <c r="A408" s="2" t="s">
        <v>1176</v>
      </c>
      <c r="B408" s="5" t="s">
        <v>1177</v>
      </c>
    </row>
    <row r="409" spans="1:2" ht="18" customHeight="1" x14ac:dyDescent="0.3">
      <c r="A409" s="2" t="s">
        <v>1178</v>
      </c>
      <c r="B409" s="5" t="s">
        <v>1</v>
      </c>
    </row>
    <row r="410" spans="1:2" ht="18" customHeight="1" x14ac:dyDescent="0.3">
      <c r="A410" s="2" t="s">
        <v>1179</v>
      </c>
      <c r="B410" s="5" t="s">
        <v>1180</v>
      </c>
    </row>
    <row r="411" spans="1:2" ht="18" customHeight="1" x14ac:dyDescent="0.3">
      <c r="A411" s="2" t="s">
        <v>1181</v>
      </c>
      <c r="B411" s="5" t="s">
        <v>1182</v>
      </c>
    </row>
    <row r="412" spans="1:2" ht="18" customHeight="1" x14ac:dyDescent="0.3">
      <c r="A412" s="2" t="s">
        <v>1183</v>
      </c>
      <c r="B412" s="5" t="s">
        <v>1184</v>
      </c>
    </row>
    <row r="413" spans="1:2" ht="18" customHeight="1" x14ac:dyDescent="0.3">
      <c r="A413" s="2" t="s">
        <v>1185</v>
      </c>
      <c r="B413" s="5" t="s">
        <v>1186</v>
      </c>
    </row>
    <row r="414" spans="1:2" ht="18" customHeight="1" x14ac:dyDescent="0.3">
      <c r="A414" s="2" t="s">
        <v>1187</v>
      </c>
      <c r="B414" s="5" t="s">
        <v>1188</v>
      </c>
    </row>
    <row r="415" spans="1:2" ht="18" customHeight="1" x14ac:dyDescent="0.3">
      <c r="A415" s="2" t="s">
        <v>1189</v>
      </c>
      <c r="B415" s="5" t="s">
        <v>1</v>
      </c>
    </row>
    <row r="416" spans="1:2" ht="18" customHeight="1" x14ac:dyDescent="0.3">
      <c r="A416" s="2" t="s">
        <v>1190</v>
      </c>
      <c r="B416" s="5" t="s">
        <v>1191</v>
      </c>
    </row>
    <row r="417" spans="1:2" ht="18" customHeight="1" x14ac:dyDescent="0.3">
      <c r="A417" s="2" t="s">
        <v>1192</v>
      </c>
      <c r="B417" s="5" t="s">
        <v>1193</v>
      </c>
    </row>
    <row r="418" spans="1:2" ht="18" customHeight="1" x14ac:dyDescent="0.3">
      <c r="A418" s="2" t="s">
        <v>1194</v>
      </c>
      <c r="B418" s="5" t="s">
        <v>1195</v>
      </c>
    </row>
    <row r="419" spans="1:2" ht="18" customHeight="1" x14ac:dyDescent="0.3">
      <c r="A419" s="2" t="s">
        <v>1196</v>
      </c>
      <c r="B419" s="5" t="s">
        <v>1197</v>
      </c>
    </row>
    <row r="420" spans="1:2" ht="18" customHeight="1" x14ac:dyDescent="0.3">
      <c r="A420" s="2" t="s">
        <v>1198</v>
      </c>
      <c r="B420" s="5" t="s">
        <v>1199</v>
      </c>
    </row>
    <row r="421" spans="1:2" ht="18" customHeight="1" x14ac:dyDescent="0.3">
      <c r="A421" s="2" t="s">
        <v>1200</v>
      </c>
      <c r="B421" s="5" t="s">
        <v>1201</v>
      </c>
    </row>
    <row r="422" spans="1:2" ht="18" customHeight="1" x14ac:dyDescent="0.3">
      <c r="A422" s="2" t="s">
        <v>1202</v>
      </c>
      <c r="B422" s="5" t="s">
        <v>1203</v>
      </c>
    </row>
    <row r="423" spans="1:2" ht="18" customHeight="1" x14ac:dyDescent="0.3">
      <c r="A423" s="2" t="s">
        <v>1204</v>
      </c>
      <c r="B423" s="5" t="s">
        <v>1205</v>
      </c>
    </row>
    <row r="424" spans="1:2" ht="18" customHeight="1" x14ac:dyDescent="0.3">
      <c r="A424" s="2" t="s">
        <v>1206</v>
      </c>
      <c r="B424" s="5" t="s">
        <v>1</v>
      </c>
    </row>
    <row r="425" spans="1:2" ht="18" customHeight="1" x14ac:dyDescent="0.3">
      <c r="A425" s="2" t="s">
        <v>1207</v>
      </c>
      <c r="B425" s="5" t="s">
        <v>1208</v>
      </c>
    </row>
    <row r="426" spans="1:2" ht="18" customHeight="1" x14ac:dyDescent="0.3">
      <c r="A426" s="2" t="s">
        <v>1209</v>
      </c>
      <c r="B426" s="5" t="s">
        <v>1210</v>
      </c>
    </row>
    <row r="427" spans="1:2" ht="18" customHeight="1" x14ac:dyDescent="0.3">
      <c r="A427" s="2" t="s">
        <v>1211</v>
      </c>
      <c r="B427" s="5" t="s">
        <v>1212</v>
      </c>
    </row>
    <row r="428" spans="1:2" ht="18" customHeight="1" x14ac:dyDescent="0.3">
      <c r="A428" s="2" t="s">
        <v>1213</v>
      </c>
      <c r="B428" s="5" t="s">
        <v>1214</v>
      </c>
    </row>
    <row r="429" spans="1:2" ht="18" customHeight="1" x14ac:dyDescent="0.3">
      <c r="A429" s="2" t="s">
        <v>1215</v>
      </c>
      <c r="B429" s="5" t="s">
        <v>1216</v>
      </c>
    </row>
    <row r="430" spans="1:2" ht="18" customHeight="1" x14ac:dyDescent="0.3">
      <c r="A430" s="2" t="s">
        <v>1217</v>
      </c>
      <c r="B430" s="5" t="s">
        <v>1218</v>
      </c>
    </row>
    <row r="431" spans="1:2" ht="18" customHeight="1" x14ac:dyDescent="0.3">
      <c r="A431" s="2" t="s">
        <v>1219</v>
      </c>
      <c r="B431" s="5" t="s">
        <v>1220</v>
      </c>
    </row>
    <row r="432" spans="1:2" ht="18" customHeight="1" x14ac:dyDescent="0.3">
      <c r="A432" s="2" t="s">
        <v>1221</v>
      </c>
      <c r="B432" s="5" t="s">
        <v>1</v>
      </c>
    </row>
    <row r="433" spans="1:2" ht="18" customHeight="1" x14ac:dyDescent="0.3">
      <c r="A433" s="2" t="s">
        <v>1222</v>
      </c>
      <c r="B433" s="5" t="s">
        <v>1223</v>
      </c>
    </row>
    <row r="434" spans="1:2" ht="18" customHeight="1" x14ac:dyDescent="0.3">
      <c r="A434" s="2" t="s">
        <v>1224</v>
      </c>
      <c r="B434" s="5" t="s">
        <v>1225</v>
      </c>
    </row>
    <row r="435" spans="1:2" ht="18" customHeight="1" x14ac:dyDescent="0.3">
      <c r="A435" s="2" t="s">
        <v>1226</v>
      </c>
      <c r="B435" s="5" t="s">
        <v>1227</v>
      </c>
    </row>
    <row r="436" spans="1:2" ht="18" customHeight="1" x14ac:dyDescent="0.3">
      <c r="A436" s="2" t="s">
        <v>1228</v>
      </c>
      <c r="B436" s="5" t="s">
        <v>1229</v>
      </c>
    </row>
    <row r="437" spans="1:2" ht="18" customHeight="1" x14ac:dyDescent="0.3">
      <c r="A437" s="2" t="s">
        <v>1230</v>
      </c>
      <c r="B437" s="5" t="s">
        <v>1231</v>
      </c>
    </row>
    <row r="438" spans="1:2" ht="18" customHeight="1" x14ac:dyDescent="0.3">
      <c r="A438" s="2" t="s">
        <v>1232</v>
      </c>
      <c r="B438" s="5" t="s">
        <v>1233</v>
      </c>
    </row>
    <row r="439" spans="1:2" ht="18" customHeight="1" x14ac:dyDescent="0.3">
      <c r="A439" s="2" t="s">
        <v>1234</v>
      </c>
      <c r="B439" s="5" t="s">
        <v>1235</v>
      </c>
    </row>
    <row r="440" spans="1:2" ht="18" customHeight="1" x14ac:dyDescent="0.3">
      <c r="A440" s="2" t="s">
        <v>1236</v>
      </c>
      <c r="B440" s="5" t="s">
        <v>1237</v>
      </c>
    </row>
    <row r="441" spans="1:2" ht="18" customHeight="1" x14ac:dyDescent="0.3">
      <c r="A441" s="2" t="s">
        <v>1238</v>
      </c>
      <c r="B441" s="5" t="s">
        <v>1239</v>
      </c>
    </row>
    <row r="442" spans="1:2" ht="18" customHeight="1" x14ac:dyDescent="0.3">
      <c r="A442" s="2" t="s">
        <v>1240</v>
      </c>
      <c r="B442" s="5" t="s">
        <v>1241</v>
      </c>
    </row>
    <row r="443" spans="1:2" ht="18" customHeight="1" x14ac:dyDescent="0.3">
      <c r="A443" s="2" t="s">
        <v>1242</v>
      </c>
      <c r="B443" s="5" t="s">
        <v>1243</v>
      </c>
    </row>
    <row r="444" spans="1:2" ht="18" customHeight="1" x14ac:dyDescent="0.3">
      <c r="A444" s="2" t="s">
        <v>1244</v>
      </c>
      <c r="B444" s="5" t="s">
        <v>1245</v>
      </c>
    </row>
    <row r="445" spans="1:2" ht="18" customHeight="1" x14ac:dyDescent="0.3">
      <c r="A445" s="2" t="s">
        <v>1246</v>
      </c>
      <c r="B445" s="5" t="s">
        <v>1</v>
      </c>
    </row>
    <row r="446" spans="1:2" ht="18" customHeight="1" x14ac:dyDescent="0.3">
      <c r="A446" s="2" t="s">
        <v>1247</v>
      </c>
      <c r="B446" s="5" t="s">
        <v>1248</v>
      </c>
    </row>
    <row r="447" spans="1:2" ht="18" customHeight="1" x14ac:dyDescent="0.3">
      <c r="A447" s="2" t="s">
        <v>1249</v>
      </c>
      <c r="B447" s="5" t="s">
        <v>1250</v>
      </c>
    </row>
    <row r="448" spans="1:2" ht="18" customHeight="1" x14ac:dyDescent="0.3">
      <c r="A448" s="2" t="s">
        <v>1251</v>
      </c>
      <c r="B448" s="5" t="s">
        <v>1252</v>
      </c>
    </row>
    <row r="449" spans="1:2" ht="18" customHeight="1" x14ac:dyDescent="0.3">
      <c r="A449" s="2" t="s">
        <v>1253</v>
      </c>
      <c r="B449" s="5" t="s">
        <v>1254</v>
      </c>
    </row>
    <row r="450" spans="1:2" ht="18" customHeight="1" x14ac:dyDescent="0.3">
      <c r="A450" s="2" t="s">
        <v>1255</v>
      </c>
      <c r="B450" s="5" t="s">
        <v>1256</v>
      </c>
    </row>
    <row r="451" spans="1:2" ht="18" customHeight="1" x14ac:dyDescent="0.3">
      <c r="A451" s="2" t="s">
        <v>1257</v>
      </c>
      <c r="B451" s="5" t="s">
        <v>1</v>
      </c>
    </row>
    <row r="452" spans="1:2" ht="18" customHeight="1" x14ac:dyDescent="0.3">
      <c r="A452" s="2" t="s">
        <v>1258</v>
      </c>
      <c r="B452" s="5" t="s">
        <v>1259</v>
      </c>
    </row>
    <row r="453" spans="1:2" ht="18" customHeight="1" x14ac:dyDescent="0.3">
      <c r="A453" s="2" t="s">
        <v>1260</v>
      </c>
      <c r="B453" s="5" t="s">
        <v>1261</v>
      </c>
    </row>
    <row r="454" spans="1:2" ht="18" customHeight="1" x14ac:dyDescent="0.3">
      <c r="A454" s="2" t="s">
        <v>1262</v>
      </c>
      <c r="B454" s="5" t="s">
        <v>1263</v>
      </c>
    </row>
    <row r="455" spans="1:2" ht="18" customHeight="1" x14ac:dyDescent="0.3">
      <c r="A455" s="2" t="s">
        <v>1264</v>
      </c>
      <c r="B455" s="5" t="s">
        <v>1265</v>
      </c>
    </row>
    <row r="456" spans="1:2" ht="18" customHeight="1" x14ac:dyDescent="0.3">
      <c r="A456" s="2" t="s">
        <v>1266</v>
      </c>
      <c r="B456" s="5" t="s">
        <v>1267</v>
      </c>
    </row>
    <row r="457" spans="1:2" ht="18" customHeight="1" x14ac:dyDescent="0.3">
      <c r="A457" s="2" t="s">
        <v>1268</v>
      </c>
      <c r="B457" s="5" t="s">
        <v>1269</v>
      </c>
    </row>
    <row r="458" spans="1:2" ht="18" customHeight="1" x14ac:dyDescent="0.3">
      <c r="A458" s="2" t="s">
        <v>1270</v>
      </c>
      <c r="B458" s="5" t="s">
        <v>1</v>
      </c>
    </row>
  </sheetData>
  <mergeCells count="2">
    <mergeCell ref="A1:E1"/>
    <mergeCell ref="A2:E2"/>
  </mergeCells>
  <pageMargins left="0.25" right="0.25" top="0.5" bottom="0.5" header="0.3" footer="0.3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Tong quan</vt:lpstr>
      <vt:lpstr>I Users</vt:lpstr>
      <vt:lpstr>II Public</vt:lpstr>
      <vt:lpstr>III Event</vt:lpstr>
      <vt:lpstr>IV Task</vt:lpstr>
      <vt:lpstr>V Vendor Staff</vt:lpstr>
      <vt:lpstr>VI Finance</vt:lpstr>
      <vt:lpstr>VII Review</vt:lpstr>
      <vt:lpstr>VIII Chat</vt:lpstr>
      <vt:lpstr>IX Quan he</vt:lpstr>
      <vt:lpstr>X Trang thai</vt:lpstr>
      <vt:lpstr>Diagram Source</vt:lpstr>
      <vt:lpstr>ERD Source</vt:lpstr>
    </vt:vector>
  </TitlesOfParts>
  <Company>NiChan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BIỂU MẪU SƠ ĐỒ DIAGRAM VÀ ERD - NICHAN</dc:title>
  <dc:creator>Codex</dc:creator>
  <cp:lastModifiedBy>Pham Thuy Ni</cp:lastModifiedBy>
  <dcterms:created xsi:type="dcterms:W3CDTF">2026-05-20T00:00:00Z</dcterms:created>
  <dcterms:modified xsi:type="dcterms:W3CDTF">2026-05-20T08:26:02Z</dcterms:modified>
</cp:coreProperties>
</file>